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VSM/templates/TAMAKAWA/"/>
    </mc:Choice>
  </mc:AlternateContent>
  <xr:revisionPtr revIDLastSave="0" documentId="13_ncr:1_{B8F4E118-42AB-E540-BE91-EA1F67807B37}" xr6:coauthVersionLast="47" xr6:coauthVersionMax="47" xr10:uidLastSave="{00000000-0000-0000-0000-000000000000}"/>
  <bookViews>
    <workbookView xWindow="45360" yWindow="74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8" l="1"/>
  <c r="N30" i="8"/>
  <c r="O29" i="8"/>
  <c r="N29" i="8"/>
  <c r="O28" i="8"/>
  <c r="N28" i="8"/>
  <c r="O27" i="8"/>
  <c r="N27" i="8"/>
  <c r="O26" i="8"/>
  <c r="N26" i="8"/>
  <c r="O25" i="8"/>
  <c r="N25" i="8"/>
  <c r="O24" i="8"/>
  <c r="N24" i="8"/>
  <c r="O32" i="8"/>
  <c r="N32" i="8"/>
  <c r="O31" i="8"/>
  <c r="N31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O33" i="8"/>
  <c r="N33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K5" i="6"/>
  <c r="L5" i="6"/>
  <c r="K6" i="6"/>
  <c r="L6" i="6"/>
  <c r="K7" i="6"/>
  <c r="L7" i="6"/>
  <c r="K8" i="6"/>
  <c r="L8" i="6"/>
  <c r="K24" i="6"/>
  <c r="L24" i="6"/>
  <c r="K25" i="6"/>
  <c r="L25" i="6"/>
  <c r="N34" i="8"/>
  <c r="O34" i="8"/>
  <c r="P34" i="8"/>
  <c r="K4" i="6"/>
  <c r="K26" i="6"/>
  <c r="K3" i="6"/>
  <c r="B3" i="7"/>
  <c r="B3" i="8"/>
  <c r="B5" i="7"/>
  <c r="B4" i="7"/>
  <c r="B2" i="7"/>
  <c r="B2" i="8"/>
  <c r="C2" i="10"/>
  <c r="V50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42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26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46" i="8" l="1"/>
  <c r="F44" i="8"/>
  <c r="G43" i="8"/>
  <c r="U50" i="8"/>
  <c r="V49" i="8"/>
  <c r="D45" i="8"/>
  <c r="F43" i="8"/>
  <c r="U49" i="8"/>
  <c r="V48" i="8"/>
  <c r="D44" i="8"/>
  <c r="G42" i="8"/>
  <c r="U48" i="8"/>
  <c r="V47" i="8"/>
  <c r="D43" i="8"/>
  <c r="F42" i="8"/>
  <c r="G50" i="8"/>
  <c r="U47" i="8"/>
  <c r="V46" i="8"/>
  <c r="L2" i="12"/>
  <c r="F50" i="8"/>
  <c r="G49" i="8"/>
  <c r="U46" i="8"/>
  <c r="V45" i="8"/>
  <c r="L36" i="12"/>
  <c r="D42" i="8"/>
  <c r="F49" i="8"/>
  <c r="G48" i="8"/>
  <c r="U45" i="8"/>
  <c r="V44" i="8"/>
  <c r="D50" i="8"/>
  <c r="F48" i="8"/>
  <c r="G47" i="8"/>
  <c r="U44" i="8"/>
  <c r="V43" i="8"/>
  <c r="D49" i="8"/>
  <c r="F47" i="8"/>
  <c r="G46" i="8"/>
  <c r="U43" i="8"/>
  <c r="D48" i="8"/>
  <c r="F46" i="8"/>
  <c r="G45" i="8"/>
  <c r="D47" i="8"/>
  <c r="F45" i="8"/>
  <c r="G44" i="8"/>
  <c r="U42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57" i="8" l="1"/>
  <c r="U58" i="8"/>
  <c r="F52" i="8"/>
  <c r="D55" i="8"/>
  <c r="V58" i="8"/>
  <c r="U59" i="8"/>
  <c r="G52" i="8"/>
  <c r="F53" i="8"/>
  <c r="D56" i="8"/>
  <c r="V59" i="8"/>
  <c r="U51" i="8"/>
  <c r="G53" i="8"/>
  <c r="F54" i="8"/>
  <c r="D57" i="8"/>
  <c r="V51" i="8"/>
  <c r="G54" i="8"/>
  <c r="F55" i="8"/>
  <c r="D58" i="8"/>
  <c r="U52" i="8"/>
  <c r="G55" i="8"/>
  <c r="F56" i="8"/>
  <c r="D59" i="8"/>
  <c r="V52" i="8"/>
  <c r="U53" i="8"/>
  <c r="G56" i="8"/>
  <c r="F57" i="8"/>
  <c r="D51" i="8"/>
  <c r="V53" i="8"/>
  <c r="U54" i="8"/>
  <c r="G57" i="8"/>
  <c r="F58" i="8"/>
  <c r="V54" i="8"/>
  <c r="U55" i="8"/>
  <c r="G58" i="8"/>
  <c r="F59" i="8"/>
  <c r="D52" i="8"/>
  <c r="V55" i="8"/>
  <c r="U56" i="8"/>
  <c r="G59" i="8"/>
  <c r="F51" i="8"/>
  <c r="D53" i="8"/>
  <c r="V56" i="8"/>
  <c r="U57" i="8"/>
  <c r="G51" i="8"/>
  <c r="D54" i="8"/>
</calcChain>
</file>

<file path=xl/sharedStrings.xml><?xml version="1.0" encoding="utf-8"?>
<sst xmlns="http://schemas.openxmlformats.org/spreadsheetml/2006/main" count="2731" uniqueCount="1632">
  <si>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</si>
  <si>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</si>
  <si>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</si>
  <si>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</si>
  <si>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</si>
  <si>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</si>
  <si>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</si>
  <si>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</si>
  <si>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</si>
  <si>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</si>
  <si>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</si>
  <si>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</si>
  <si>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</si>
  <si>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</si>
  <si>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</si>
  <si>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</si>
  <si>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</si>
  <si>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</si>
  <si>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</si>
  <si>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</si>
  <si>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</si>
  <si>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</si>
  <si>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</si>
  <si>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</si>
  <si>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</si>
  <si>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</si>
  <si>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</si>
  <si>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</si>
  <si>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</si>
  <si>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</si>
  <si>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</si>
  <si>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</si>
  <si>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</si>
  <si>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</si>
  <si>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</si>
  <si>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</si>
  <si>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</si>
  <si>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</si>
  <si>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</si>
  <si>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</si>
  <si>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</si>
  <si>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</si>
  <si>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</si>
  <si>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</si>
  <si>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</si>
  <si>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</si>
  <si>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</si>
  <si>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</si>
  <si>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</si>
  <si>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</si>
  <si>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</si>
  <si>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</si>
  <si>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</si>
  <si>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</si>
  <si>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</si>
  <si>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</si>
  <si>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</si>
  <si>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</si>
  <si>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</si>
  <si>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</si>
  <si>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</si>
  <si>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</si>
  <si>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</si>
  <si>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</si>
  <si>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</si>
  <si>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</si>
  <si>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</si>
  <si>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</si>
  <si>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</si>
  <si>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</si>
  <si>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</si>
  <si>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</si>
  <si>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</si>
  <si>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</si>
  <si>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</si>
  <si>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</si>
  <si>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</si>
  <si>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</si>
  <si>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</si>
  <si>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</si>
  <si>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</si>
  <si>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</si>
  <si>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</si>
  <si>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</si>
  <si>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</si>
  <si>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</si>
  <si>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</si>
  <si>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</si>
  <si>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</si>
  <si>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</si>
  <si>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</si>
  <si>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</si>
  <si>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</si>
  <si>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</si>
  <si>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</si>
  <si>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</si>
  <si>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</si>
  <si>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</si>
  <si>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</si>
  <si>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</si>
  <si>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</si>
  <si>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</si>
  <si>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</si>
  <si>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</si>
  <si>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</si>
  <si>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</si>
  <si>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</si>
  <si>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</si>
  <si>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</si>
  <si>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</si>
  <si>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</si>
  <si>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</si>
  <si>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</si>
  <si>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</si>
  <si>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</si>
  <si>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</si>
  <si>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</si>
  <si>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</si>
  <si>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</si>
  <si>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</si>
  <si>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</si>
  <si>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</si>
  <si>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</si>
  <si>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</si>
  <si>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</si>
  <si>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</si>
  <si>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</si>
  <si>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</si>
  <si>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</si>
  <si>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</si>
  <si>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</si>
  <si>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</si>
  <si>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</si>
  <si>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</si>
  <si>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</si>
  <si>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</si>
  <si>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</si>
  <si>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</si>
  <si>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</si>
  <si>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</si>
  <si>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</si>
  <si>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</si>
  <si>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</si>
  <si>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</si>
  <si>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</si>
  <si>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</si>
  <si>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</si>
  <si>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</si>
  <si>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</si>
  <si>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</si>
  <si>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</si>
  <si>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</si>
  <si>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</si>
  <si>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</si>
  <si>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</si>
  <si>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</si>
  <si>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</si>
  <si>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</si>
  <si>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</si>
  <si>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</si>
  <si>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</si>
  <si>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</si>
  <si>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</si>
  <si>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</si>
  <si>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</si>
  <si>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</si>
  <si>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</si>
  <si>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</si>
  <si>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</si>
  <si>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</si>
  <si>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</si>
  <si>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</si>
  <si>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</si>
  <si>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</si>
  <si>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</si>
  <si>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</si>
  <si>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</si>
  <si>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</si>
  <si>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</si>
  <si>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</si>
  <si>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</si>
  <si>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</si>
  <si>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</si>
  <si>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</si>
  <si>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</si>
  <si>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</si>
  <si>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</si>
  <si>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</si>
  <si>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</si>
  <si>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</si>
  <si>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</si>
  <si>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</si>
  <si>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</si>
  <si>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</si>
  <si>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</si>
  <si>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</si>
  <si>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</si>
  <si>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</si>
  <si>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</si>
  <si>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</si>
  <si>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</si>
  <si>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</si>
  <si>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</si>
  <si>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</si>
  <si>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</si>
  <si>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</si>
  <si>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</si>
  <si>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</si>
  <si>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</si>
  <si>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</si>
  <si>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</si>
  <si>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</si>
  <si>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</si>
  <si>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</si>
  <si>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</si>
  <si>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</si>
  <si>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</si>
  <si>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</si>
  <si>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</si>
  <si>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</si>
  <si>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</si>
  <si>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</si>
  <si>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</si>
  <si>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</si>
  <si>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</si>
  <si>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</si>
  <si>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</si>
  <si>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</si>
  <si>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</si>
  <si>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</si>
  <si>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</si>
  <si>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</si>
  <si>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</si>
  <si>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</si>
  <si>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</si>
  <si>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</si>
  <si>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</si>
  <si>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</si>
  <si>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</si>
  <si>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</si>
  <si>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</si>
  <si>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</si>
  <si>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</si>
  <si>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</si>
  <si>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</si>
  <si>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</si>
  <si>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</si>
  <si>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</si>
  <si>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</si>
  <si>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</si>
  <si>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</si>
  <si>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</si>
  <si>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</si>
  <si>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</si>
  <si>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</si>
  <si>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</si>
  <si>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</si>
  <si>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</si>
  <si>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</si>
  <si>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</si>
  <si>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</si>
  <si>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</si>
  <si>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</si>
  <si>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</si>
  <si>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</si>
  <si>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</si>
  <si>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</si>
  <si>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</si>
  <si>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</si>
  <si>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</si>
  <si>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</si>
  <si>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</si>
  <si>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</si>
  <si>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</si>
  <si>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</si>
  <si>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</si>
  <si>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</si>
  <si>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</si>
  <si>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</si>
  <si>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</si>
  <si>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</si>
  <si>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</si>
  <si>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</si>
  <si>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</si>
  <si>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</si>
  <si>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</si>
  <si>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</si>
  <si>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</si>
  <si>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</si>
  <si>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</si>
  <si>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</si>
  <si>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</si>
  <si>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</si>
  <si>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</si>
  <si>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</si>
  <si>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</si>
  <si>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</si>
  <si>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</si>
  <si>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</si>
  <si>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</si>
  <si>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</si>
  <si>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</si>
  <si>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</si>
  <si>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</si>
  <si>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</si>
  <si>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</si>
  <si>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</si>
  <si>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</si>
  <si>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</si>
  <si>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</si>
  <si>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</si>
  <si>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</si>
  <si>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</si>
  <si>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</si>
  <si>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</si>
  <si>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</si>
  <si>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</si>
  <si>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</si>
  <si>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</si>
  <si>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</si>
  <si>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</si>
  <si>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</si>
  <si>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</si>
  <si>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</si>
  <si>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</si>
  <si>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</si>
  <si>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</si>
  <si>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</si>
  <si>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</si>
  <si>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</si>
  <si>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</si>
  <si>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</si>
  <si>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</si>
  <si>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</si>
  <si>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</si>
  <si>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</si>
  <si>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</si>
  <si>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</si>
  <si>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</si>
  <si>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</si>
  <si>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</si>
  <si>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</si>
  <si>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</si>
  <si>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</si>
  <si>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</si>
  <si>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</si>
  <si>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</si>
  <si>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</si>
  <si>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</si>
  <si>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</si>
  <si>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</si>
  <si>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</si>
  <si>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</si>
  <si>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</si>
  <si>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</si>
  <si>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</si>
  <si>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</si>
  <si>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</si>
  <si>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</si>
  <si>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</si>
  <si>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</si>
  <si>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</si>
  <si>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</si>
  <si>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</si>
  <si>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</si>
  <si>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</si>
  <si>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</si>
  <si>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</si>
  <si>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</si>
  <si>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</si>
  <si>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</si>
  <si>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</si>
  <si>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</si>
  <si>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</si>
  <si>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</si>
  <si>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</si>
  <si>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</si>
  <si>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</si>
  <si>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</si>
  <si>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</si>
  <si>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</si>
  <si>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</si>
  <si>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</si>
  <si>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</si>
  <si>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</si>
  <si>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</si>
  <si>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</si>
  <si>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</si>
  <si>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</si>
  <si>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</si>
  <si>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</si>
  <si>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</si>
  <si>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</si>
  <si>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</si>
  <si>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</si>
  <si>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</si>
  <si>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</si>
  <si>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</si>
  <si>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</si>
  <si>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</si>
  <si>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</si>
  <si>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</si>
  <si>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</si>
  <si>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</si>
  <si>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</si>
  <si>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</si>
  <si>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</si>
  <si>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</si>
  <si>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</si>
  <si>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</si>
  <si>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</si>
  <si>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</si>
  <si>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</si>
  <si>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</si>
  <si>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</si>
  <si>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</si>
  <si>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</si>
  <si>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</si>
  <si>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</si>
  <si>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</si>
  <si>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</si>
  <si>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</si>
  <si>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</si>
  <si>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</si>
  <si>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</si>
  <si>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</si>
  <si>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</si>
  <si>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</si>
  <si>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</si>
  <si>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</si>
  <si>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</si>
  <si>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</si>
  <si>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</si>
  <si>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</si>
  <si>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</si>
  <si>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</si>
  <si>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</si>
  <si>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</si>
  <si>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</si>
  <si>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</si>
  <si>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</si>
  <si>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</si>
  <si>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</si>
  <si>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</si>
  <si>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</si>
  <si>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</si>
  <si>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</si>
  <si>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</si>
  <si>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</si>
  <si>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</si>
  <si>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</si>
  <si>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</si>
  <si>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</si>
  <si>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</si>
  <si>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</si>
  <si>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</si>
  <si>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</si>
  <si>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</si>
  <si>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</si>
  <si>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</si>
  <si>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</si>
  <si>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</si>
  <si>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</si>
  <si>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</si>
  <si>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</si>
  <si>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</si>
  <si>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</si>
  <si>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</si>
  <si>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</si>
  <si>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</si>
  <si>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</si>
  <si>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</si>
  <si>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</si>
  <si>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</si>
  <si>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</si>
  <si>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</si>
  <si>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</si>
  <si>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</si>
  <si>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</si>
  <si>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</si>
  <si>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</si>
  <si>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</si>
  <si>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</si>
  <si>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</si>
  <si>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</si>
  <si>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</si>
  <si>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</si>
  <si>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</si>
  <si>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</si>
  <si>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</si>
  <si>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</si>
  <si>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</si>
  <si>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</si>
  <si>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</si>
  <si>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</si>
  <si>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</si>
  <si>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</si>
  <si>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</si>
  <si>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</si>
  <si>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</si>
  <si>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</si>
  <si>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</si>
  <si>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</si>
  <si>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</si>
  <si>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</si>
  <si>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</si>
  <si>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</si>
  <si>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</si>
  <si>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</si>
  <si>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</si>
  <si>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</si>
  <si>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</si>
  <si>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</si>
  <si>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</si>
  <si>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</si>
  <si>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</si>
  <si>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</si>
  <si>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</si>
  <si>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</si>
  <si>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</si>
  <si>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</si>
  <si>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</si>
  <si>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</si>
  <si>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</si>
  <si>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</si>
  <si>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</si>
  <si>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</si>
  <si>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</si>
  <si>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</si>
  <si>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</si>
  <si>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</si>
  <si>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</si>
  <si>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</si>
  <si>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</si>
  <si>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</si>
  <si>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</si>
  <si>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</si>
  <si>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</si>
  <si>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</si>
  <si>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</si>
  <si>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</si>
  <si>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</si>
  <si>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</si>
  <si>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</si>
  <si>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</si>
  <si>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</si>
  <si>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</si>
  <si>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</si>
  <si>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</si>
  <si>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</si>
  <si>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</si>
  <si>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</si>
  <si>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</si>
  <si>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</si>
  <si>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</si>
  <si>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</si>
  <si>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</si>
  <si>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</si>
  <si>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</si>
  <si>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</si>
  <si>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</si>
  <si>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</si>
  <si>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</si>
  <si>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</si>
  <si>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</si>
  <si>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</si>
  <si>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</si>
  <si>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</si>
  <si>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</si>
  <si>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</si>
  <si>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</si>
  <si>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</si>
  <si>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</si>
  <si>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</si>
  <si>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</si>
  <si>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</si>
  <si>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</si>
  <si>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</si>
  <si>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</si>
  <si>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</si>
  <si>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</si>
  <si>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</si>
  <si>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</si>
  <si>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</si>
  <si>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</si>
  <si>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</si>
  <si>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</si>
  <si>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</si>
  <si>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</si>
  <si>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</si>
  <si>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</si>
  <si>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</si>
  <si>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</si>
  <si>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</si>
  <si>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</si>
  <si>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</si>
  <si>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</si>
  <si>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</si>
  <si>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</si>
  <si>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</si>
  <si>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</si>
  <si>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</si>
  <si>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</si>
  <si>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</si>
  <si>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</si>
  <si>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</si>
  <si>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</si>
  <si>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</si>
  <si>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</si>
  <si>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</si>
  <si>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</si>
  <si>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</si>
  <si>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</si>
  <si>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</si>
  <si>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</si>
  <si>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</si>
  <si>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</si>
  <si>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</si>
  <si>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</si>
  <si>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</si>
  <si>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</si>
  <si>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</si>
  <si>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</si>
  <si>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</si>
  <si>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</si>
  <si>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</si>
  <si>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</si>
  <si>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</si>
  <si>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</si>
  <si>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</si>
  <si>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</si>
  <si>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</si>
  <si>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</si>
  <si>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</si>
  <si>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</si>
  <si>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</si>
  <si>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</si>
  <si>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</si>
  <si>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</si>
  <si>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</si>
  <si>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</si>
  <si>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</si>
  <si>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</si>
  <si>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</si>
  <si>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</si>
  <si>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</si>
  <si>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</si>
  <si>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</si>
  <si>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</si>
  <si>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</si>
  <si>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</si>
  <si>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</si>
  <si>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</si>
  <si>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</si>
  <si>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</si>
  <si>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</si>
  <si>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</si>
  <si>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</si>
  <si>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</si>
  <si>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</si>
  <si>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</si>
  <si>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</si>
  <si>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</si>
  <si>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</si>
  <si>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</si>
  <si>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</si>
  <si>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</si>
  <si>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</si>
  <si>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</si>
  <si>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</si>
  <si>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</si>
  <si>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</si>
  <si>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</si>
  <si>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</si>
  <si>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</si>
  <si>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</si>
  <si>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</si>
  <si>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</si>
  <si>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</si>
  <si>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</si>
  <si>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</si>
  <si>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</si>
  <si>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</si>
  <si>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</si>
  <si>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</si>
  <si>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</si>
  <si>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</si>
  <si>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</si>
  <si>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</si>
  <si>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</si>
  <si>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</si>
  <si>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</si>
  <si>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</si>
  <si>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</si>
  <si>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</si>
  <si>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</si>
  <si>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</si>
  <si>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</si>
  <si>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</si>
  <si>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</si>
  <si>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</si>
  <si>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</si>
  <si>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</si>
  <si>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</si>
  <si>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</si>
  <si>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</si>
  <si>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</si>
  <si>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</si>
  <si>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</si>
  <si>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</si>
  <si>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</si>
  <si>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</si>
  <si>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</si>
  <si>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</si>
  <si>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</si>
  <si>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</si>
  <si>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</si>
  <si>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</si>
  <si>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</si>
  <si>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</si>
  <si>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</si>
  <si>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</si>
  <si>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</si>
  <si>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</si>
  <si>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</si>
  <si>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</si>
  <si>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</si>
  <si>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</si>
  <si>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</si>
  <si>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</si>
  <si>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</si>
  <si>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</si>
  <si>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</si>
  <si>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</si>
  <si>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</si>
  <si>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</si>
  <si>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</si>
  <si>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</si>
  <si>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</si>
  <si>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</si>
  <si>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</si>
  <si>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</si>
  <si>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</si>
  <si>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</si>
  <si>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</si>
  <si>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</si>
  <si>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</si>
  <si>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</si>
  <si>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</si>
  <si>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</si>
  <si>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</si>
  <si>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</si>
  <si>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</si>
  <si>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</si>
  <si>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</si>
  <si>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</si>
  <si>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</si>
  <si>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</si>
  <si>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</si>
  <si>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</si>
  <si>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</si>
  <si>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</si>
  <si>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</si>
  <si>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</si>
  <si>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</si>
  <si>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</si>
  <si>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</si>
  <si>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</si>
  <si>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</si>
  <si>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</si>
  <si>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</si>
  <si>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</si>
  <si>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</si>
  <si>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</si>
  <si>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</si>
  <si>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</si>
  <si>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</si>
  <si>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</si>
  <si>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</si>
  <si>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</si>
  <si>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</si>
  <si>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</si>
  <si>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</si>
  <si>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</si>
  <si>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</si>
  <si>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</si>
  <si>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</si>
  <si>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</si>
  <si>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</si>
  <si>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</si>
  <si>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</si>
  <si>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</si>
  <si>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</si>
  <si>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</si>
  <si>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</si>
  <si>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</si>
  <si>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</si>
  <si>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</si>
  <si>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</si>
  <si>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</si>
  <si>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</si>
  <si>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</si>
  <si>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</si>
  <si>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</si>
  <si>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</si>
  <si>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</si>
  <si>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</si>
  <si>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</si>
  <si>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</si>
  <si>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</si>
  <si>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</si>
  <si>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</si>
  <si>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</si>
  <si>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</si>
  <si>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</si>
  <si>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</si>
  <si>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</si>
  <si>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</si>
  <si>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</si>
  <si>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</si>
  <si>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</si>
  <si>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</si>
  <si>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</si>
  <si>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</si>
  <si>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</si>
  <si>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</si>
  <si>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</si>
  <si>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</si>
  <si>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</si>
  <si>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</si>
  <si>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</si>
  <si>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</si>
  <si>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</si>
  <si>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</si>
  <si>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</si>
  <si>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</si>
  <si>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</si>
  <si>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</si>
  <si>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</si>
  <si>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</si>
  <si>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</si>
  <si>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</si>
  <si>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</si>
  <si>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</si>
  <si>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</si>
  <si>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</si>
  <si>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</si>
  <si>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</si>
  <si>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</si>
  <si>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</si>
  <si>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</si>
  <si>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</si>
  <si>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</si>
  <si>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</si>
  <si>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</si>
  <si>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</si>
  <si>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</si>
  <si>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</si>
  <si>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</si>
  <si>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</si>
  <si>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</si>
  <si>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</si>
  <si>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</si>
  <si>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</si>
  <si>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</si>
  <si>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</si>
  <si>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</si>
  <si>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</si>
  <si>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</si>
  <si>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</si>
  <si>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</si>
  <si>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</si>
  <si>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</si>
  <si>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</si>
  <si>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</si>
  <si>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</si>
  <si>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</si>
  <si>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</si>
  <si>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</si>
  <si>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</si>
  <si>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</si>
  <si>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</si>
  <si>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</si>
  <si>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</si>
  <si>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</si>
  <si>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</si>
  <si>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</si>
  <si>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</si>
  <si>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</si>
  <si>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</si>
  <si>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</si>
  <si>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</si>
  <si>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</si>
  <si>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</si>
  <si>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</si>
  <si>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</si>
  <si>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</si>
  <si>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</si>
  <si>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</si>
  <si>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</si>
  <si>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</si>
  <si>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</si>
  <si>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</si>
  <si>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</si>
  <si>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</si>
  <si>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</si>
  <si>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</si>
  <si>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</si>
  <si>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</si>
  <si>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</si>
  <si>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</si>
  <si>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</si>
  <si>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</si>
  <si>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</si>
  <si>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</si>
  <si>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</si>
  <si>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</si>
  <si>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</si>
  <si>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</si>
  <si>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</si>
  <si>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</si>
  <si>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</si>
  <si>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</si>
  <si>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</si>
  <si>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</si>
  <si>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</si>
  <si>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</si>
  <si>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</si>
  <si>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</si>
  <si>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</si>
  <si>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</si>
  <si>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</si>
  <si>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</si>
  <si>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</si>
  <si>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</si>
  <si>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</si>
  <si>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</si>
  <si>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</si>
  <si>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</si>
  <si>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</si>
  <si>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</si>
  <si>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</si>
  <si>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</si>
  <si>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</si>
  <si>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</si>
  <si>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</si>
  <si>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</si>
  <si>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</si>
  <si>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</si>
  <si>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</si>
  <si>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</si>
  <si>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</si>
  <si>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</si>
  <si>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</si>
  <si>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</si>
  <si>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</si>
  <si>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</si>
  <si>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</si>
  <si>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</si>
  <si>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</si>
  <si>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</si>
  <si>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</si>
  <si>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</si>
  <si>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</si>
  <si>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</si>
  <si>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</si>
  <si>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</si>
  <si>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</si>
  <si>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</si>
  <si>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</si>
  <si>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</si>
  <si>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</si>
  <si>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</si>
  <si>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</si>
  <si>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</si>
  <si>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</si>
  <si>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</si>
  <si>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</si>
  <si>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</si>
  <si>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</si>
  <si>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</si>
  <si>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</si>
  <si>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</si>
  <si>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</si>
  <si>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</si>
  <si>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</si>
  <si>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</si>
  <si>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</si>
  <si>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</si>
  <si>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</si>
  <si>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</si>
  <si>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</si>
  <si>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</si>
  <si>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</si>
  <si>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</si>
  <si>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</si>
  <si>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</si>
  <si>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</si>
  <si>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</si>
  <si>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</si>
  <si>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</si>
  <si>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</si>
  <si>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</si>
  <si>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</si>
  <si>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</si>
  <si>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</si>
  <si>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</si>
  <si>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</si>
  <si>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</si>
  <si>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</si>
  <si>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</si>
  <si>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</si>
  <si>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</si>
  <si>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</si>
  <si>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</si>
  <si>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</si>
  <si>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</si>
  <si>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</si>
  <si>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</si>
  <si>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</si>
  <si>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</si>
  <si>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</si>
  <si>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</si>
  <si>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</si>
  <si>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</si>
  <si>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</si>
  <si>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</si>
  <si>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</si>
  <si>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</si>
  <si>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</si>
  <si>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</si>
  <si>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</si>
  <si>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</si>
  <si>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</si>
  <si>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</si>
  <si>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</si>
  <si>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</si>
  <si>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</si>
  <si>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</si>
  <si>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</si>
  <si>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</si>
  <si>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</si>
  <si>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</si>
  <si>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</si>
  <si>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</si>
  <si>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</si>
  <si>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</si>
  <si>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</si>
  <si>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</si>
  <si>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</si>
  <si>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</si>
  <si>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</si>
  <si>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</si>
  <si>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</si>
  <si>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</si>
  <si>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</si>
  <si>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</si>
  <si>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</si>
  <si>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</si>
  <si>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</si>
  <si>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</si>
  <si>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</si>
  <si>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</si>
  <si>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</si>
  <si>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</si>
  <si>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</si>
  <si>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</si>
  <si>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</si>
  <si>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</si>
  <si>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</si>
  <si>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</si>
  <si>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</si>
  <si>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</si>
  <si>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</si>
  <si>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</si>
  <si>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</si>
  <si>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</si>
  <si>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</si>
  <si>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</si>
  <si>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</si>
  <si>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</si>
  <si>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</si>
  <si>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</si>
  <si>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</si>
  <si>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</si>
  <si>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</si>
  <si>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</si>
  <si>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</si>
  <si>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</si>
  <si>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</si>
  <si>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</si>
  <si>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</si>
  <si>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</si>
  <si>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</si>
  <si>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</si>
  <si>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</si>
  <si>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</si>
  <si>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</si>
  <si>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</si>
  <si>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</si>
  <si>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</si>
  <si>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</si>
  <si>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</si>
  <si>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</si>
  <si>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</si>
  <si>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</si>
  <si>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</si>
  <si>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</si>
  <si>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</si>
  <si>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</si>
  <si>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</si>
  <si>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</si>
  <si>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</si>
  <si>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</si>
  <si>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</si>
  <si>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</si>
  <si>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</si>
  <si>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</si>
  <si>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</si>
  <si>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</si>
  <si>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</si>
  <si>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</si>
  <si>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</si>
  <si>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</si>
  <si>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</si>
  <si>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</si>
  <si>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</si>
  <si>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</si>
  <si>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</si>
  <si>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</si>
  <si>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</si>
  <si>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</si>
  <si>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</si>
  <si>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</si>
  <si>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</si>
  <si>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</si>
  <si>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</si>
  <si>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</si>
  <si>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</si>
  <si>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</si>
  <si>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</si>
  <si>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</si>
  <si>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</si>
  <si>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</si>
  <si>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</si>
  <si>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</si>
  <si>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</si>
  <si>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</si>
  <si>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</si>
  <si>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</si>
  <si>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</si>
  <si>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</si>
  <si>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</si>
  <si>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</si>
  <si>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</si>
  <si>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</si>
  <si>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</si>
  <si>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</si>
  <si>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</si>
  <si>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</si>
  <si>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</si>
  <si>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</si>
  <si>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</si>
  <si>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</si>
  <si>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</si>
  <si>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</si>
  <si>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</si>
  <si>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</si>
  <si>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</si>
  <si>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</si>
  <si>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</si>
  <si>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</si>
  <si>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</si>
  <si>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</si>
  <si>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</si>
  <si>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</si>
  <si>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</si>
  <si>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</si>
  <si>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</si>
  <si>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</si>
  <si>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</si>
  <si>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</si>
  <si>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</si>
  <si>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</si>
  <si>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</si>
  <si>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</si>
  <si>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</si>
  <si>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</si>
  <si>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</si>
  <si>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</si>
  <si>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</si>
  <si>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</si>
  <si>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</si>
  <si>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</si>
  <si>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</si>
  <si>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</si>
  <si>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</si>
  <si>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</si>
  <si>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</si>
  <si>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</si>
  <si>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</si>
  <si>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</si>
  <si>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</si>
  <si>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</si>
  <si>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</si>
  <si>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</si>
  <si>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</si>
  <si>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</si>
  <si>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</si>
  <si>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</si>
  <si>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</si>
  <si>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</si>
  <si>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</si>
  <si>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</si>
  <si>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</si>
  <si>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</si>
  <si>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</si>
  <si>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</si>
  <si>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</si>
  <si>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</si>
  <si>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</si>
  <si>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</si>
  <si>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</si>
  <si>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</si>
  <si>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</si>
  <si>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</si>
  <si>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</si>
  <si>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</si>
  <si>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</si>
  <si>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</si>
  <si>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</si>
  <si>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</si>
  <si>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</si>
  <si>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</si>
  <si>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</si>
  <si>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</si>
  <si>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</si>
  <si>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</si>
  <si>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</si>
  <si>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</si>
  <si>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</si>
  <si>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</si>
  <si>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</si>
  <si>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</si>
  <si>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</si>
  <si>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</si>
  <si>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</si>
  <si>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</si>
  <si>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</si>
  <si>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</si>
  <si>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</si>
  <si>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</si>
  <si>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</si>
  <si>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</si>
  <si>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</si>
  <si>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</si>
  <si>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</si>
  <si>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</si>
  <si>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</si>
  <si>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</si>
  <si>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</si>
  <si>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</si>
  <si>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</si>
  <si>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</si>
  <si>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</si>
  <si>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</si>
  <si>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</si>
  <si>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</si>
  <si>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</si>
  <si>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</si>
  <si>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</si>
  <si>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</si>
  <si>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</si>
  <si>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</si>
  <si>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</si>
  <si>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</si>
  <si>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</si>
  <si>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</si>
  <si>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</si>
  <si>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</si>
  <si>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</si>
  <si>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</si>
  <si>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</si>
  <si>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</si>
  <si>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</si>
  <si>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</si>
  <si>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</si>
  <si>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</si>
  <si>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</si>
  <si>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</si>
  <si>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</si>
  <si>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</si>
  <si>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</si>
  <si>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</si>
  <si>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</si>
  <si>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</si>
  <si>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</si>
  <si>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</si>
  <si>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</si>
  <si>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</si>
  <si>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</si>
  <si>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</si>
  <si>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</si>
  <si>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</si>
  <si>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</si>
  <si>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</si>
  <si>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</si>
  <si>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</si>
  <si>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</si>
  <si>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</si>
  <si>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</si>
  <si>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</si>
  <si>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</si>
  <si>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</si>
  <si>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</si>
  <si>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</si>
  <si>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</si>
  <si>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</si>
  <si>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</si>
  <si>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</si>
  <si>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</si>
  <si>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</si>
  <si>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</si>
  <si>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</si>
  <si>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</si>
  <si>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</si>
  <si>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</si>
  <si>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</si>
  <si>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</si>
  <si>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</si>
  <si>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</si>
  <si>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</si>
  <si>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</si>
  <si>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</si>
  <si>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</si>
  <si>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</si>
  <si>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</si>
  <si>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</si>
  <si>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</si>
  <si>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</si>
  <si>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</si>
  <si>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</si>
  <si>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</si>
  <si>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</si>
  <si>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</si>
  <si>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</si>
  <si>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</si>
  <si>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</si>
  <si>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</si>
  <si>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</si>
  <si>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</si>
  <si>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</si>
  <si>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</si>
  <si>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</si>
  <si>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</si>
  <si>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</si>
  <si>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</si>
  <si>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</si>
  <si>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</si>
  <si>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</si>
  <si>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</si>
  <si>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</si>
  <si>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</si>
  <si>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</si>
  <si>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</si>
  <si>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</si>
  <si>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</si>
  <si>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</si>
  <si>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</si>
  <si>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</si>
  <si>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</si>
  <si>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</si>
  <si>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</si>
  <si>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</si>
  <si>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</si>
  <si>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</si>
  <si>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</si>
  <si>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</si>
  <si>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</si>
  <si>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</si>
  <si>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</si>
  <si>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</si>
  <si>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</si>
  <si>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</si>
  <si>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</si>
  <si>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</si>
  <si>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</si>
  <si>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</si>
  <si>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</si>
  <si>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</si>
  <si>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</si>
  <si>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</si>
  <si>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</si>
  <si>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</si>
  <si>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</si>
  <si>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</si>
  <si>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</si>
  <si>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</si>
  <si>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</si>
  <si>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</si>
  <si>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</si>
  <si>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</si>
  <si>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</si>
  <si>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</si>
  <si>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</si>
  <si>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</si>
  <si>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</si>
  <si>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</si>
  <si>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</si>
  <si>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</si>
  <si>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</si>
  <si>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</si>
  <si>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</si>
  <si>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</si>
  <si>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</si>
  <si>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</si>
  <si>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</si>
  <si>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</si>
  <si>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</si>
  <si>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</si>
  <si>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</si>
  <si>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</si>
  <si>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</si>
  <si>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</si>
  <si>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</si>
  <si>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</si>
  <si>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</si>
  <si>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</si>
  <si>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</si>
  <si>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</si>
  <si>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</si>
  <si>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</si>
  <si>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</si>
  <si>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</si>
  <si>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</si>
  <si>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</si>
  <si>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</si>
  <si>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</si>
  <si>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</si>
  <si>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</si>
  <si>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</si>
  <si>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</si>
  <si>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</si>
  <si>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</si>
  <si>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</si>
  <si>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</si>
  <si>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</si>
  <si>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</si>
  <si>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</si>
  <si>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</si>
  <si>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</si>
  <si>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</si>
  <si>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</si>
  <si>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</si>
  <si>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</si>
  <si>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</si>
  <si>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</si>
  <si>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</si>
  <si>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</si>
  <si>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</si>
  <si>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</si>
  <si>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</si>
  <si>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</si>
  <si>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</si>
  <si>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</si>
  <si>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</si>
  <si>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</si>
  <si>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</si>
  <si>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</si>
  <si>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</si>
  <si>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RDEDatasetTemplateSheet_RDE_VSM_TAMAKAWA</t>
    <phoneticPr fontId="2"/>
  </si>
  <si>
    <t>標準データセットテンプレートRDE_VSM_TAMAKAWA用RDEデータセットテンプレート</t>
    <rPh sb="0" eb="2">
      <t xml:space="preserve">ヒョウジュン </t>
    </rPh>
    <phoneticPr fontId="2"/>
  </si>
  <si>
    <t>date</t>
  </si>
  <si>
    <t>測定日</t>
  </si>
  <si>
    <t>Date</t>
  </si>
  <si>
    <t>sample_name</t>
  </si>
  <si>
    <t>サンプル名</t>
  </si>
  <si>
    <t>Sample name</t>
  </si>
  <si>
    <t>applied_magnetic_field</t>
  </si>
  <si>
    <t>印加磁場条件</t>
  </si>
  <si>
    <t>Applied magnetic field</t>
  </si>
  <si>
    <t>temperature</t>
  </si>
  <si>
    <t>温度</t>
  </si>
  <si>
    <t>Temperature</t>
  </si>
  <si>
    <t>number</t>
  </si>
  <si>
    <t>max_magnetic_field</t>
  </si>
  <si>
    <t>最大磁化</t>
  </si>
  <si>
    <t>Max magnetic field</t>
  </si>
  <si>
    <t>calibration_value</t>
  </si>
  <si>
    <t>キャリブレーション値</t>
  </si>
  <si>
    <t>Calibration value</t>
  </si>
  <si>
    <t>sample_thickness</t>
  </si>
  <si>
    <t>サンプル厚さ</t>
  </si>
  <si>
    <t>Sample thickness</t>
  </si>
  <si>
    <t>sample_cross_section</t>
  </si>
  <si>
    <t>サンプル断面積</t>
  </si>
  <si>
    <t>Sample cross section</t>
  </si>
  <si>
    <t>correction_of_demagnetization_field</t>
  </si>
  <si>
    <t>反磁界補正の有無</t>
  </si>
  <si>
    <t>Correction of demagnetization field</t>
  </si>
  <si>
    <t>correction_of_diamagnetism</t>
  </si>
  <si>
    <t>反磁性補正</t>
  </si>
  <si>
    <t>Correction of diamagnetism</t>
  </si>
  <si>
    <t>add-subtract_process</t>
  </si>
  <si>
    <t>加減算処理</t>
  </si>
  <si>
    <t>Add-subtract process</t>
  </si>
  <si>
    <t>segment_processing</t>
  </si>
  <si>
    <t>セグメント処理</t>
  </si>
  <si>
    <t>Segment processing</t>
  </si>
  <si>
    <t>spline_interpolation</t>
  </si>
  <si>
    <t>スプライン補間</t>
  </si>
  <si>
    <t>Spline interpolation</t>
  </si>
  <si>
    <t>smoothing_process</t>
  </si>
  <si>
    <t>平滑化処理</t>
  </si>
  <si>
    <t>Smoothing process</t>
  </si>
  <si>
    <t>correction_of_image_effect</t>
  </si>
  <si>
    <t>ミラー補正</t>
  </si>
  <si>
    <t>Correction of image effect</t>
  </si>
  <si>
    <t>hc</t>
  </si>
  <si>
    <t>保磁力</t>
  </si>
  <si>
    <t>Hc</t>
  </si>
  <si>
    <t>br</t>
  </si>
  <si>
    <t>残留磁化</t>
  </si>
  <si>
    <t>Br</t>
  </si>
  <si>
    <t>br_per_volume</t>
  </si>
  <si>
    <t>残留磁化/体積</t>
  </si>
  <si>
    <t>Br/Volume</t>
  </si>
  <si>
    <t>br_per_volume_corrected</t>
  </si>
  <si>
    <t>残留磁化/体積（補正後）</t>
  </si>
  <si>
    <t>Br/Volume(Corrected)</t>
  </si>
  <si>
    <t>ms</t>
  </si>
  <si>
    <t>飽和磁化</t>
  </si>
  <si>
    <t>Ms</t>
  </si>
  <si>
    <t>ms_per_volume</t>
  </si>
  <si>
    <t>飽和磁化/体積</t>
  </si>
  <si>
    <t>Ms/Volume</t>
  </si>
  <si>
    <t>ms_per_volume_corrected</t>
  </si>
  <si>
    <t>飽和磁化/体積（補正後）</t>
  </si>
  <si>
    <t>Ms/Volume(Corrected)</t>
  </si>
  <si>
    <t>C</t>
  </si>
  <si>
    <t>Oe</t>
  </si>
  <si>
    <t>nm</t>
  </si>
  <si>
    <t>cm2</t>
  </si>
  <si>
    <t>T</t>
  </si>
  <si>
    <t>emu</t>
  </si>
  <si>
    <t>sputtering_apparatus</t>
  </si>
  <si>
    <t>スパッタリング装置</t>
  </si>
  <si>
    <t>Sputtering Apparatus</t>
  </si>
  <si>
    <t>specimen_label</t>
  </si>
  <si>
    <t>試料名</t>
  </si>
  <si>
    <t>Specimen label</t>
  </si>
  <si>
    <t>sample_year</t>
  </si>
  <si>
    <t>試料作製年</t>
  </si>
  <si>
    <t>Sample year</t>
  </si>
  <si>
    <t>sample_month</t>
  </si>
  <si>
    <t>試料作製月</t>
  </si>
  <si>
    <t>Sample month</t>
  </si>
  <si>
    <t>sample_size_height</t>
  </si>
  <si>
    <t>サンプルサイズ(縦)</t>
  </si>
  <si>
    <t>Sample size(height)</t>
  </si>
  <si>
    <t>mm</t>
  </si>
  <si>
    <t>sample_size_width</t>
  </si>
  <si>
    <t>サンプルサイズ(横)</t>
  </si>
  <si>
    <t>Sample size(width)</t>
  </si>
  <si>
    <t>sample_size_thickness</t>
  </si>
  <si>
    <t>サンプルサイズ(厚さ)</t>
  </si>
  <si>
    <t>Sample size(thickness)</t>
  </si>
  <si>
    <t>sample_area</t>
  </si>
  <si>
    <t>サンプル膜面積</t>
  </si>
  <si>
    <t>Sample area</t>
  </si>
  <si>
    <t>correction_factor</t>
  </si>
  <si>
    <t>補正係数</t>
  </si>
  <si>
    <t>Correction factor</t>
  </si>
  <si>
    <t>background_removal</t>
  </si>
  <si>
    <t>バックグラウンド処理の有無</t>
  </si>
  <si>
    <t>Background removal</t>
  </si>
  <si>
    <t>boolean</t>
  </si>
  <si>
    <t>spike_removal</t>
  </si>
  <si>
    <t>スパイクノイズ除去処理の有無</t>
  </si>
  <si>
    <t>Spike removal</t>
  </si>
  <si>
    <t>feature_acquisition</t>
  </si>
  <si>
    <t>特徴量取得の有無</t>
  </si>
  <si>
    <t>Feature acquisition</t>
  </si>
  <si>
    <t>common_data_type</t>
  </si>
  <si>
    <t>登録データタイプ</t>
  </si>
  <si>
    <t>Data Type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</si>
  <si>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</si>
  <si>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</si>
  <si>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</si>
  <si>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</si>
  <si>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</si>
  <si>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</si>
  <si>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</si>
  <si>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</si>
  <si>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</si>
  <si>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property_property</t>
  </si>
  <si>
    <t>特徴的性質</t>
  </si>
  <si>
    <t>Property</t>
  </si>
  <si>
    <t>property_sub_category</t>
  </si>
  <si>
    <t>サブカテゴリー</t>
  </si>
  <si>
    <t>Sub category</t>
  </si>
  <si>
    <t>measurement_method_category</t>
  </si>
  <si>
    <t>計測法カテゴリー</t>
  </si>
  <si>
    <t>Method category</t>
  </si>
  <si>
    <t>measurement_method_sub_category</t>
  </si>
  <si>
    <t>計測法サブカテゴリー</t>
  </si>
  <si>
    <t>Method sub-category</t>
  </si>
  <si>
    <t>measurement_analysis_field</t>
  </si>
  <si>
    <t>分析分野</t>
  </si>
  <si>
    <t>Analysis field</t>
  </si>
  <si>
    <t>measurement_measurement_environment</t>
  </si>
  <si>
    <t>測定環境</t>
  </si>
  <si>
    <t>Measurement environment</t>
  </si>
  <si>
    <t>measurement_energy_level_transition_structure_etc_of_interest</t>
  </si>
  <si>
    <t>対象準位_遷移_構造</t>
  </si>
  <si>
    <t>Energy Level_Transition_Structure etc. of interest</t>
  </si>
  <si>
    <t>measurement_measured_date</t>
  </si>
  <si>
    <t>分析年月日</t>
  </si>
  <si>
    <t>Measured date</t>
  </si>
  <si>
    <t>measurement_standardized_procedure</t>
  </si>
  <si>
    <t>標準手順</t>
  </si>
  <si>
    <t>Standardized procedure</t>
  </si>
  <si>
    <t>measurement_instrumentation_site</t>
  </si>
  <si>
    <t>装置設置場所</t>
  </si>
  <si>
    <t>Instrumentation site</t>
  </si>
  <si>
    <t>ファイル名から自動取得します</t>
  </si>
  <si>
    <t>Automatically get from file name</t>
  </si>
  <si>
    <t>TAMAKAWA-VSM</t>
  </si>
  <si>
    <t>experiments</t>
  </si>
  <si>
    <t>measurement</t>
  </si>
  <si>
    <t>磁性</t>
  </si>
  <si>
    <t>保磁力(coercivity)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</si>
</sst>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8" sqref="B8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1470</v>
      </c>
      <c r="C1" s="22" t="s">
        <v>1384</v>
      </c>
    </row>
    <row r="2" spans="1:3" ht="18">
      <c r="A2" s="1" t="s">
        <v>1385</v>
      </c>
      <c r="B2" s="9" t="s">
        <v>1470</v>
      </c>
      <c r="C2" s="22" t="s">
        <v>1384</v>
      </c>
    </row>
    <row r="3" spans="1:3" ht="18">
      <c r="A3" s="1" t="s">
        <v>1386</v>
      </c>
      <c r="B3" s="9" t="s">
        <v>1470</v>
      </c>
      <c r="C3" s="22" t="s">
        <v>1387</v>
      </c>
    </row>
    <row r="4" spans="1:3">
      <c r="A4" s="1" t="s">
        <v>1388</v>
      </c>
      <c r="B4" s="22" t="s">
        <v>1471</v>
      </c>
      <c r="C4" s="22"/>
    </row>
    <row r="5" spans="1:3" ht="18">
      <c r="A5" s="21"/>
    </row>
    <row r="6" spans="1:3">
      <c r="A6" s="1" t="s">
        <v>1389</v>
      </c>
      <c r="B6" s="30">
        <v>46027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46027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27"/>
  <sheetViews>
    <sheetView zoomScale="85" zoomScaleNormal="85" workbookViewId="0">
      <pane xSplit="3" ySplit="2" topLeftCell="L3" activePane="bottomRight" state="frozen"/>
      <selection pane="topRight" activeCell="D1" sqref="D1"/>
      <selection pane="bottomLeft" activeCell="A3" sqref="A3"/>
      <selection pane="bottomRight" activeCell="O13" sqref="O13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 ht="16" customHeight="1">
      <c r="A3" s="41" t="s">
        <v>1429</v>
      </c>
      <c r="B3" s="3" t="s">
        <v>1404</v>
      </c>
      <c r="C3" s="9" t="s">
        <v>1472</v>
      </c>
      <c r="D3" s="5"/>
      <c r="E3" s="5"/>
      <c r="F3" s="5"/>
      <c r="G3" s="4" t="s">
        <v>1473</v>
      </c>
      <c r="H3" s="4" t="s">
        <v>1474</v>
      </c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1404</v>
      </c>
      <c r="C4" s="9" t="s">
        <v>1475</v>
      </c>
      <c r="D4" s="5"/>
      <c r="E4" s="5"/>
      <c r="F4" s="5"/>
      <c r="G4" s="4" t="s">
        <v>1476</v>
      </c>
      <c r="H4" s="4" t="s">
        <v>1477</v>
      </c>
      <c r="I4" s="5"/>
      <c r="J4" s="6" t="s">
        <v>4</v>
      </c>
      <c r="K4" s="23" t="str">
        <f t="shared" ref="K4:K26" si="0">_xlfn.IFS(J4="integer","integer",J4="number","number",J4="array","array",J4="boolean","boolean",TRUE,"string")</f>
        <v>string</v>
      </c>
      <c r="L4" s="23" t="str">
        <f t="shared" ref="L4:L26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1404</v>
      </c>
      <c r="C5" s="9" t="s">
        <v>1478</v>
      </c>
      <c r="D5" s="5"/>
      <c r="E5" s="5"/>
      <c r="F5" s="5"/>
      <c r="G5" s="4" t="s">
        <v>1479</v>
      </c>
      <c r="H5" s="4" t="s">
        <v>1480</v>
      </c>
      <c r="I5" s="5"/>
      <c r="J5" s="6" t="s">
        <v>4</v>
      </c>
      <c r="K5" s="23" t="str">
        <f t="shared" ref="K5:K25" si="2">_xlfn.IFS(J5="integer","integer",J5="number","number",J5="array","array",J5="boolean","boolean",TRUE,"string")</f>
        <v>string</v>
      </c>
      <c r="L5" s="23" t="str">
        <f t="shared" ref="L5:L25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1404</v>
      </c>
      <c r="C6" s="9" t="s">
        <v>1481</v>
      </c>
      <c r="D6" s="5"/>
      <c r="E6" s="5"/>
      <c r="F6" s="5"/>
      <c r="G6" s="4" t="s">
        <v>1482</v>
      </c>
      <c r="H6" s="4" t="s">
        <v>1483</v>
      </c>
      <c r="I6" s="5"/>
      <c r="J6" s="6" t="s">
        <v>1484</v>
      </c>
      <c r="K6" s="23" t="str">
        <f t="shared" si="2"/>
        <v>number</v>
      </c>
      <c r="L6" s="23" t="str">
        <f t="shared" si="3"/>
        <v/>
      </c>
      <c r="M6" s="20" t="s">
        <v>1539</v>
      </c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1404</v>
      </c>
      <c r="C7" s="9" t="s">
        <v>1485</v>
      </c>
      <c r="D7" s="5"/>
      <c r="E7" s="5"/>
      <c r="F7" s="5"/>
      <c r="G7" s="4" t="s">
        <v>1486</v>
      </c>
      <c r="H7" s="4" t="s">
        <v>1487</v>
      </c>
      <c r="I7" s="5"/>
      <c r="J7" s="6" t="s">
        <v>1484</v>
      </c>
      <c r="K7" s="23" t="str">
        <f t="shared" si="2"/>
        <v>number</v>
      </c>
      <c r="L7" s="23" t="str">
        <f t="shared" si="3"/>
        <v/>
      </c>
      <c r="M7" s="20" t="s">
        <v>1540</v>
      </c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1404</v>
      </c>
      <c r="C8" s="9" t="s">
        <v>1488</v>
      </c>
      <c r="D8" s="5"/>
      <c r="E8" s="5"/>
      <c r="F8" s="5"/>
      <c r="G8" s="4" t="s">
        <v>1489</v>
      </c>
      <c r="H8" s="4" t="s">
        <v>1490</v>
      </c>
      <c r="I8" s="5"/>
      <c r="J8" s="6" t="s">
        <v>1484</v>
      </c>
      <c r="K8" s="23" t="str">
        <f t="shared" si="2"/>
        <v>number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1404</v>
      </c>
      <c r="C9" s="9" t="s">
        <v>1491</v>
      </c>
      <c r="D9" s="5"/>
      <c r="E9" s="5"/>
      <c r="F9" s="5"/>
      <c r="G9" s="4" t="s">
        <v>1492</v>
      </c>
      <c r="H9" s="4" t="s">
        <v>1493</v>
      </c>
      <c r="I9" s="5"/>
      <c r="J9" s="6" t="s">
        <v>1484</v>
      </c>
      <c r="K9" s="23" t="str">
        <f t="shared" si="2"/>
        <v>number</v>
      </c>
      <c r="L9" s="23" t="str">
        <f t="shared" si="3"/>
        <v/>
      </c>
      <c r="M9" s="20" t="s">
        <v>1541</v>
      </c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1404</v>
      </c>
      <c r="C10" s="9" t="s">
        <v>1494</v>
      </c>
      <c r="D10" s="5"/>
      <c r="E10" s="5"/>
      <c r="F10" s="5"/>
      <c r="G10" s="4" t="s">
        <v>1495</v>
      </c>
      <c r="H10" s="4" t="s">
        <v>1496</v>
      </c>
      <c r="I10" s="5"/>
      <c r="J10" s="6" t="s">
        <v>1484</v>
      </c>
      <c r="K10" s="23" t="str">
        <f t="shared" ref="K10:K19" si="4">_xlfn.IFS(J10="integer","integer",J10="number","number",J10="array","array",J10="boolean","boolean",TRUE,"string")</f>
        <v>number</v>
      </c>
      <c r="L10" s="23" t="str">
        <f t="shared" ref="L10:L19" si="5">_xlfn.IFS(J10="datetime","date-time",J10="duration","duration",TRUE,"")</f>
        <v/>
      </c>
      <c r="M10" s="20" t="s">
        <v>1542</v>
      </c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1404</v>
      </c>
      <c r="C11" s="9" t="s">
        <v>1497</v>
      </c>
      <c r="D11" s="5"/>
      <c r="E11" s="5"/>
      <c r="F11" s="5"/>
      <c r="G11" s="4" t="s">
        <v>1498</v>
      </c>
      <c r="H11" s="4" t="s">
        <v>1499</v>
      </c>
      <c r="I11" s="5"/>
      <c r="J11" s="6" t="s">
        <v>4</v>
      </c>
      <c r="K11" s="23" t="str">
        <f t="shared" si="4"/>
        <v>string</v>
      </c>
      <c r="L11" s="23" t="str">
        <f t="shared" si="5"/>
        <v/>
      </c>
      <c r="M11" s="20"/>
      <c r="N11" s="20"/>
      <c r="O11" s="20"/>
      <c r="P11" s="20"/>
      <c r="Q11" s="20"/>
      <c r="R11" s="20"/>
      <c r="S11" s="2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>
      <c r="A12" s="41"/>
      <c r="B12" s="3" t="s">
        <v>1404</v>
      </c>
      <c r="C12" s="9" t="s">
        <v>1500</v>
      </c>
      <c r="D12" s="5"/>
      <c r="E12" s="5"/>
      <c r="F12" s="5"/>
      <c r="G12" s="4" t="s">
        <v>1501</v>
      </c>
      <c r="H12" s="4" t="s">
        <v>1502</v>
      </c>
      <c r="I12" s="5"/>
      <c r="J12" s="6" t="s">
        <v>4</v>
      </c>
      <c r="K12" s="23" t="str">
        <f t="shared" si="4"/>
        <v>string</v>
      </c>
      <c r="L12" s="23" t="str">
        <f t="shared" si="5"/>
        <v/>
      </c>
      <c r="M12" s="20"/>
      <c r="N12" s="20"/>
      <c r="O12" s="20"/>
      <c r="P12" s="20"/>
      <c r="Q12" s="20"/>
      <c r="R12" s="20"/>
      <c r="S12" s="2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>
      <c r="A13" s="41"/>
      <c r="B13" s="3" t="s">
        <v>1404</v>
      </c>
      <c r="C13" s="9" t="s">
        <v>1503</v>
      </c>
      <c r="D13" s="5"/>
      <c r="E13" s="5"/>
      <c r="F13" s="5"/>
      <c r="G13" s="4" t="s">
        <v>1504</v>
      </c>
      <c r="H13" s="4" t="s">
        <v>1505</v>
      </c>
      <c r="I13" s="5"/>
      <c r="J13" s="6" t="s">
        <v>4</v>
      </c>
      <c r="K13" s="23" t="str">
        <f t="shared" si="4"/>
        <v>string</v>
      </c>
      <c r="L13" s="23" t="str">
        <f t="shared" si="5"/>
        <v/>
      </c>
      <c r="M13" s="20"/>
      <c r="N13" s="20"/>
      <c r="O13" s="20"/>
      <c r="P13" s="20"/>
      <c r="Q13" s="20"/>
      <c r="R13" s="20"/>
      <c r="S13" s="2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>
      <c r="A14" s="41"/>
      <c r="B14" s="3" t="s">
        <v>1404</v>
      </c>
      <c r="C14" s="9" t="s">
        <v>1506</v>
      </c>
      <c r="D14" s="5"/>
      <c r="E14" s="5"/>
      <c r="F14" s="5"/>
      <c r="G14" s="4" t="s">
        <v>1507</v>
      </c>
      <c r="H14" s="4" t="s">
        <v>1508</v>
      </c>
      <c r="I14" s="5"/>
      <c r="J14" s="6" t="s">
        <v>4</v>
      </c>
      <c r="K14" s="23" t="str">
        <f t="shared" si="4"/>
        <v>string</v>
      </c>
      <c r="L14" s="23" t="str">
        <f t="shared" si="5"/>
        <v/>
      </c>
      <c r="M14" s="20"/>
      <c r="N14" s="20"/>
      <c r="O14" s="20"/>
      <c r="P14" s="20"/>
      <c r="Q14" s="20"/>
      <c r="R14" s="20"/>
      <c r="S14" s="2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>
      <c r="A15" s="41"/>
      <c r="B15" s="3" t="s">
        <v>1404</v>
      </c>
      <c r="C15" s="9" t="s">
        <v>1509</v>
      </c>
      <c r="D15" s="5"/>
      <c r="E15" s="5"/>
      <c r="F15" s="5"/>
      <c r="G15" s="4" t="s">
        <v>1510</v>
      </c>
      <c r="H15" s="4" t="s">
        <v>1511</v>
      </c>
      <c r="I15" s="5"/>
      <c r="J15" s="6" t="s">
        <v>4</v>
      </c>
      <c r="K15" s="23" t="str">
        <f t="shared" si="4"/>
        <v>string</v>
      </c>
      <c r="L15" s="23" t="str">
        <f t="shared" si="5"/>
        <v/>
      </c>
      <c r="M15" s="20"/>
      <c r="N15" s="20"/>
      <c r="O15" s="20"/>
      <c r="P15" s="20"/>
      <c r="Q15" s="20"/>
      <c r="R15" s="20"/>
      <c r="S15" s="2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>
      <c r="A16" s="41"/>
      <c r="B16" s="3" t="s">
        <v>1404</v>
      </c>
      <c r="C16" s="9" t="s">
        <v>1512</v>
      </c>
      <c r="D16" s="5"/>
      <c r="E16" s="5"/>
      <c r="F16" s="5"/>
      <c r="G16" s="4" t="s">
        <v>1513</v>
      </c>
      <c r="H16" s="4" t="s">
        <v>1514</v>
      </c>
      <c r="I16" s="5"/>
      <c r="J16" s="6" t="s">
        <v>4</v>
      </c>
      <c r="K16" s="23" t="str">
        <f t="shared" si="4"/>
        <v>string</v>
      </c>
      <c r="L16" s="23" t="str">
        <f t="shared" si="5"/>
        <v/>
      </c>
      <c r="M16" s="20"/>
      <c r="N16" s="20"/>
      <c r="O16" s="20"/>
      <c r="P16" s="20"/>
      <c r="Q16" s="20"/>
      <c r="R16" s="20"/>
      <c r="S16" s="2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>
      <c r="A17" s="41"/>
      <c r="B17" s="3" t="s">
        <v>1404</v>
      </c>
      <c r="C17" s="9" t="s">
        <v>1515</v>
      </c>
      <c r="D17" s="5"/>
      <c r="E17" s="5"/>
      <c r="F17" s="5"/>
      <c r="G17" s="4" t="s">
        <v>1516</v>
      </c>
      <c r="H17" s="4" t="s">
        <v>1517</v>
      </c>
      <c r="I17" s="5"/>
      <c r="J17" s="6" t="s">
        <v>4</v>
      </c>
      <c r="K17" s="23" t="str">
        <f t="shared" si="4"/>
        <v>string</v>
      </c>
      <c r="L17" s="23" t="str">
        <f t="shared" si="5"/>
        <v/>
      </c>
      <c r="M17" s="20"/>
      <c r="N17" s="20"/>
      <c r="O17" s="20"/>
      <c r="P17" s="20"/>
      <c r="Q17" s="20"/>
      <c r="R17" s="20"/>
      <c r="S17" s="2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spans="1:30">
      <c r="A18" s="41"/>
      <c r="B18" s="3" t="s">
        <v>1404</v>
      </c>
      <c r="C18" s="9" t="s">
        <v>1518</v>
      </c>
      <c r="D18" s="5"/>
      <c r="E18" s="5"/>
      <c r="F18" s="5"/>
      <c r="G18" s="4" t="s">
        <v>1519</v>
      </c>
      <c r="H18" s="4" t="s">
        <v>1520</v>
      </c>
      <c r="I18" s="5"/>
      <c r="J18" s="6" t="s">
        <v>4</v>
      </c>
      <c r="K18" s="23" t="str">
        <f t="shared" si="4"/>
        <v>string</v>
      </c>
      <c r="L18" s="23" t="str">
        <f t="shared" si="5"/>
        <v/>
      </c>
      <c r="M18" s="20" t="s">
        <v>1543</v>
      </c>
      <c r="N18" s="20"/>
      <c r="O18" s="20"/>
      <c r="P18" s="20"/>
      <c r="Q18" s="20"/>
      <c r="R18" s="20"/>
      <c r="S18" s="2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>
      <c r="A19" s="41"/>
      <c r="B19" s="3" t="s">
        <v>1404</v>
      </c>
      <c r="C19" s="9" t="s">
        <v>1521</v>
      </c>
      <c r="D19" s="5"/>
      <c r="E19" s="5"/>
      <c r="F19" s="5"/>
      <c r="G19" s="4" t="s">
        <v>1522</v>
      </c>
      <c r="H19" s="4" t="s">
        <v>1523</v>
      </c>
      <c r="I19" s="5"/>
      <c r="J19" s="6" t="s">
        <v>4</v>
      </c>
      <c r="K19" s="23" t="str">
        <f t="shared" si="4"/>
        <v>string</v>
      </c>
      <c r="L19" s="23" t="str">
        <f t="shared" si="5"/>
        <v/>
      </c>
      <c r="M19" s="20" t="s">
        <v>1544</v>
      </c>
      <c r="N19" s="20"/>
      <c r="O19" s="20"/>
      <c r="P19" s="20"/>
      <c r="Q19" s="20"/>
      <c r="R19" s="20"/>
      <c r="S19" s="2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>
      <c r="A20" s="41"/>
      <c r="B20" s="3" t="s">
        <v>1404</v>
      </c>
      <c r="C20" s="9" t="s">
        <v>1524</v>
      </c>
      <c r="D20" s="5"/>
      <c r="E20" s="5"/>
      <c r="F20" s="5"/>
      <c r="G20" s="4" t="s">
        <v>1525</v>
      </c>
      <c r="H20" s="4" t="s">
        <v>1526</v>
      </c>
      <c r="I20" s="5"/>
      <c r="J20" s="6" t="s">
        <v>4</v>
      </c>
      <c r="K20" s="23" t="str">
        <f t="shared" ref="K20:K23" si="6">_xlfn.IFS(J20="integer","integer",J20="number","number",J20="array","array",J20="boolean","boolean",TRUE,"string")</f>
        <v>string</v>
      </c>
      <c r="L20" s="23" t="str">
        <f t="shared" ref="L20:L23" si="7">_xlfn.IFS(J20="datetime","date-time",J20="duration","duration",TRUE,"")</f>
        <v/>
      </c>
      <c r="M20" s="20" t="s">
        <v>1543</v>
      </c>
      <c r="N20" s="20"/>
      <c r="O20" s="20"/>
      <c r="P20" s="20"/>
      <c r="Q20" s="20"/>
      <c r="R20" s="20"/>
      <c r="S20" s="2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>
      <c r="A21" s="41"/>
      <c r="B21" s="3" t="s">
        <v>1404</v>
      </c>
      <c r="C21" s="9" t="s">
        <v>1527</v>
      </c>
      <c r="D21" s="5"/>
      <c r="E21" s="5"/>
      <c r="F21" s="5"/>
      <c r="G21" s="4" t="s">
        <v>1528</v>
      </c>
      <c r="H21" s="4" t="s">
        <v>1529</v>
      </c>
      <c r="I21" s="5"/>
      <c r="J21" s="6" t="s">
        <v>4</v>
      </c>
      <c r="K21" s="23" t="str">
        <f t="shared" si="6"/>
        <v>string</v>
      </c>
      <c r="L21" s="23" t="str">
        <f t="shared" si="7"/>
        <v/>
      </c>
      <c r="M21" s="20" t="s">
        <v>1543</v>
      </c>
      <c r="N21" s="20"/>
      <c r="O21" s="20"/>
      <c r="P21" s="20"/>
      <c r="Q21" s="20"/>
      <c r="R21" s="20"/>
      <c r="S21" s="2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>
      <c r="A22" s="41"/>
      <c r="B22" s="3" t="s">
        <v>1404</v>
      </c>
      <c r="C22" s="9" t="s">
        <v>1530</v>
      </c>
      <c r="D22" s="5"/>
      <c r="E22" s="5"/>
      <c r="F22" s="5"/>
      <c r="G22" s="4" t="s">
        <v>1531</v>
      </c>
      <c r="H22" s="4" t="s">
        <v>1532</v>
      </c>
      <c r="I22" s="5"/>
      <c r="J22" s="6" t="s">
        <v>4</v>
      </c>
      <c r="K22" s="23" t="str">
        <f t="shared" si="6"/>
        <v>string</v>
      </c>
      <c r="L22" s="23" t="str">
        <f t="shared" si="7"/>
        <v/>
      </c>
      <c r="M22" s="20" t="s">
        <v>1544</v>
      </c>
      <c r="N22" s="20"/>
      <c r="O22" s="20"/>
      <c r="P22" s="20"/>
      <c r="Q22" s="20"/>
      <c r="R22" s="20"/>
      <c r="S22" s="2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>
      <c r="A23" s="41"/>
      <c r="B23" s="3" t="s">
        <v>1404</v>
      </c>
      <c r="C23" s="9" t="s">
        <v>1533</v>
      </c>
      <c r="D23" s="5"/>
      <c r="E23" s="5"/>
      <c r="F23" s="5"/>
      <c r="G23" s="4" t="s">
        <v>1534</v>
      </c>
      <c r="H23" s="4" t="s">
        <v>1535</v>
      </c>
      <c r="I23" s="5"/>
      <c r="J23" s="6" t="s">
        <v>4</v>
      </c>
      <c r="K23" s="23" t="str">
        <f t="shared" si="6"/>
        <v>string</v>
      </c>
      <c r="L23" s="23" t="str">
        <f t="shared" si="7"/>
        <v/>
      </c>
      <c r="M23" s="20" t="s">
        <v>1543</v>
      </c>
      <c r="N23" s="20"/>
      <c r="O23" s="20"/>
      <c r="P23" s="20"/>
      <c r="Q23" s="20"/>
      <c r="R23" s="20"/>
      <c r="S23" s="2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>
      <c r="A24" s="41"/>
      <c r="B24" s="3" t="s">
        <v>1404</v>
      </c>
      <c r="C24" s="9" t="s">
        <v>1536</v>
      </c>
      <c r="D24" s="5"/>
      <c r="E24" s="5"/>
      <c r="F24" s="5"/>
      <c r="G24" s="4" t="s">
        <v>1537</v>
      </c>
      <c r="H24" s="4" t="s">
        <v>1538</v>
      </c>
      <c r="I24" s="5"/>
      <c r="J24" s="6" t="s">
        <v>4</v>
      </c>
      <c r="K24" s="23" t="str">
        <f t="shared" si="2"/>
        <v>string</v>
      </c>
      <c r="L24" s="23" t="str">
        <f t="shared" si="3"/>
        <v/>
      </c>
      <c r="M24" s="20" t="s">
        <v>1543</v>
      </c>
      <c r="N24" s="20"/>
      <c r="O24" s="20"/>
      <c r="P24" s="20"/>
      <c r="Q24" s="20"/>
      <c r="R24" s="20"/>
      <c r="S24" s="2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>
      <c r="A25" s="41"/>
      <c r="B25" s="3" t="s">
        <v>44</v>
      </c>
      <c r="C25" s="9"/>
      <c r="D25" s="5"/>
      <c r="E25" s="5"/>
      <c r="F25" s="5"/>
      <c r="G25" s="4"/>
      <c r="H25" s="4"/>
      <c r="I25" s="5"/>
      <c r="J25" s="6" t="s">
        <v>4</v>
      </c>
      <c r="K25" s="23" t="str">
        <f t="shared" si="2"/>
        <v>string</v>
      </c>
      <c r="L25" s="23" t="str">
        <f t="shared" si="3"/>
        <v/>
      </c>
      <c r="M25" s="20"/>
      <c r="N25" s="20"/>
      <c r="O25" s="20"/>
      <c r="P25" s="20"/>
      <c r="Q25" s="20"/>
      <c r="R25" s="20"/>
      <c r="S25" s="2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1:30">
      <c r="A26" s="41"/>
      <c r="B26" s="3" t="s">
        <v>44</v>
      </c>
      <c r="C26" s="9"/>
      <c r="D26" s="7"/>
      <c r="E26" s="7"/>
      <c r="F26" s="7"/>
      <c r="G26" s="6"/>
      <c r="H26" s="6"/>
      <c r="I26" s="7"/>
      <c r="J26" s="6" t="s">
        <v>4</v>
      </c>
      <c r="K26" s="23" t="str">
        <f t="shared" si="0"/>
        <v>string</v>
      </c>
      <c r="L26" s="23" t="str">
        <f t="shared" si="1"/>
        <v/>
      </c>
      <c r="M26" s="7"/>
      <c r="N26" s="7"/>
      <c r="O26" s="7"/>
      <c r="P26" s="7"/>
      <c r="Q26" s="7"/>
      <c r="R26" s="7"/>
      <c r="S26" s="8"/>
    </row>
    <row r="27" spans="1:30">
      <c r="B27" s="27"/>
    </row>
  </sheetData>
  <mergeCells count="1">
    <mergeCell ref="A3:A26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26" xr:uid="{C77DE921-00C9-402E-B063-7FE813E1C579}">
      <formula1>"ON,OFF"</formula1>
    </dataValidation>
    <dataValidation type="list" allowBlank="1" showInputMessage="1" showErrorMessage="1" sqref="Q4:Q26" xr:uid="{973D0976-273D-4B1E-AD82-53B3E7F58099}">
      <formula1>"　,TRUE"</formula1>
    </dataValidation>
    <dataValidation type="list" allowBlank="1" showInputMessage="1" showErrorMessage="1" sqref="J3:J26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9"/>
  <sheetViews>
    <sheetView zoomScaleNormal="100" workbookViewId="0">
      <pane xSplit="4" ySplit="6" topLeftCell="Q7" activePane="bottomRight" state="frozen"/>
      <selection pane="topRight" activeCell="E1" sqref="E1"/>
      <selection pane="bottomLeft" activeCell="A7" sqref="A7"/>
      <selection pane="bottomRight" activeCell="T12" sqref="T12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2" t="s">
        <v>9</v>
      </c>
      <c r="C1" s="43"/>
      <c r="D1" s="43"/>
      <c r="E1" s="4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49" t="str">
        <f>"https://rde.nims.go.jp/rde/dataset-templates/"&amp;説明!B3&amp;"/invoice.schema.json"</f>
        <v>https://rde.nims.go.jp/rde/dataset-templates/RDEDatasetTemplateSheet_RDE_VSM_TAMAKAWA/invoice.schema.json</v>
      </c>
      <c r="C2" s="50"/>
      <c r="D2" s="50"/>
      <c r="E2" s="5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5" t="str">
        <f>説明!B4&amp;": 送状定義"</f>
        <v>標準データセットテンプレートRDE_VSM_TAMAKAWA用RDEデータセットテンプレート: 送状定義</v>
      </c>
      <c r="C3" s="46"/>
      <c r="D3" s="46"/>
      <c r="E3" s="4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8" t="s">
        <v>5</v>
      </c>
      <c r="B7" s="48" t="s">
        <v>33</v>
      </c>
      <c r="C7" s="3" t="s">
        <v>1404</v>
      </c>
      <c r="D7" s="18" t="s">
        <v>1545</v>
      </c>
      <c r="E7" s="19"/>
      <c r="F7" s="15" t="s">
        <v>1546</v>
      </c>
      <c r="G7" s="15" t="s">
        <v>1547</v>
      </c>
      <c r="H7" s="12"/>
      <c r="I7" s="12"/>
      <c r="J7" s="12"/>
      <c r="K7" s="16"/>
      <c r="L7" s="7"/>
      <c r="M7" s="6" t="s">
        <v>4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 t="s">
        <v>1625</v>
      </c>
      <c r="V7" s="12" t="s">
        <v>1626</v>
      </c>
      <c r="W7" s="12"/>
      <c r="X7" s="12"/>
      <c r="Y7" s="12"/>
      <c r="Z7" s="12"/>
      <c r="AA7" s="12"/>
      <c r="AB7" s="12"/>
      <c r="AC7" s="12"/>
    </row>
    <row r="8" spans="1:29">
      <c r="A8" s="48"/>
      <c r="B8" s="48"/>
      <c r="C8" s="3" t="s">
        <v>1404</v>
      </c>
      <c r="D8" s="18" t="s">
        <v>1548</v>
      </c>
      <c r="E8" s="19"/>
      <c r="F8" s="15" t="s">
        <v>1549</v>
      </c>
      <c r="G8" s="15" t="s">
        <v>1550</v>
      </c>
      <c r="H8" s="12"/>
      <c r="I8" s="12"/>
      <c r="J8" s="12"/>
      <c r="K8" s="16"/>
      <c r="L8" s="7"/>
      <c r="M8" s="6" t="s">
        <v>4</v>
      </c>
      <c r="N8" s="29" t="str">
        <f t="shared" ref="N8:N33" si="0">_xlfn.IFS(M8="integer","integer",M8="number","number",M8="boolean","boolean",TRUE,"string")</f>
        <v>string</v>
      </c>
      <c r="O8" s="29" t="str">
        <f t="shared" ref="O8:O33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 t="s">
        <v>1625</v>
      </c>
      <c r="V8" s="12" t="s">
        <v>1626</v>
      </c>
      <c r="W8" s="12"/>
      <c r="X8" s="12"/>
      <c r="Y8" s="12"/>
      <c r="Z8" s="12"/>
      <c r="AA8" s="12"/>
      <c r="AB8" s="12"/>
      <c r="AC8" s="12"/>
    </row>
    <row r="9" spans="1:29">
      <c r="A9" s="48"/>
      <c r="B9" s="48"/>
      <c r="C9" s="3" t="s">
        <v>1404</v>
      </c>
      <c r="D9" s="18" t="s">
        <v>1551</v>
      </c>
      <c r="E9" s="19"/>
      <c r="F9" s="15" t="s">
        <v>1552</v>
      </c>
      <c r="G9" s="15" t="s">
        <v>1553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 t="s">
        <v>1625</v>
      </c>
      <c r="V9" s="12" t="s">
        <v>1626</v>
      </c>
      <c r="W9" s="12"/>
      <c r="X9" s="12"/>
      <c r="Y9" s="12"/>
      <c r="Z9" s="12"/>
      <c r="AA9" s="12"/>
      <c r="AB9" s="12"/>
      <c r="AC9" s="12"/>
    </row>
    <row r="10" spans="1:29">
      <c r="A10" s="48"/>
      <c r="B10" s="48"/>
      <c r="C10" s="3" t="s">
        <v>1404</v>
      </c>
      <c r="D10" s="18" t="s">
        <v>1554</v>
      </c>
      <c r="E10" s="19"/>
      <c r="F10" s="15" t="s">
        <v>1555</v>
      </c>
      <c r="G10" s="15" t="s">
        <v>1556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 t="s">
        <v>1625</v>
      </c>
      <c r="V10" s="12" t="s">
        <v>1626</v>
      </c>
      <c r="W10" s="12"/>
      <c r="X10" s="12"/>
      <c r="Y10" s="12"/>
      <c r="Z10" s="12"/>
      <c r="AA10" s="12"/>
      <c r="AB10" s="12"/>
      <c r="AC10" s="12"/>
    </row>
    <row r="11" spans="1:29">
      <c r="A11" s="48"/>
      <c r="B11" s="48"/>
      <c r="C11" s="3" t="s">
        <v>1404</v>
      </c>
      <c r="D11" s="18" t="s">
        <v>1557</v>
      </c>
      <c r="E11" s="19"/>
      <c r="F11" s="15" t="s">
        <v>1558</v>
      </c>
      <c r="G11" s="15" t="s">
        <v>1559</v>
      </c>
      <c r="H11" s="12"/>
      <c r="I11" s="12"/>
      <c r="J11" s="12" t="s">
        <v>1560</v>
      </c>
      <c r="K11" s="16"/>
      <c r="L11" s="7"/>
      <c r="M11" s="6" t="s">
        <v>1484</v>
      </c>
      <c r="N11" s="29" t="str">
        <f t="shared" si="0"/>
        <v>number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8"/>
      <c r="B12" s="48"/>
      <c r="C12" s="3" t="s">
        <v>1404</v>
      </c>
      <c r="D12" s="18" t="s">
        <v>1561</v>
      </c>
      <c r="E12" s="19"/>
      <c r="F12" s="15" t="s">
        <v>1562</v>
      </c>
      <c r="G12" s="15" t="s">
        <v>1563</v>
      </c>
      <c r="H12" s="12"/>
      <c r="I12" s="12"/>
      <c r="J12" s="12" t="s">
        <v>1560</v>
      </c>
      <c r="K12" s="16"/>
      <c r="L12" s="7"/>
      <c r="M12" s="6" t="s">
        <v>1484</v>
      </c>
      <c r="N12" s="29" t="str">
        <f t="shared" si="0"/>
        <v>number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8"/>
      <c r="B13" s="48"/>
      <c r="C13" s="3" t="s">
        <v>1404</v>
      </c>
      <c r="D13" s="18" t="s">
        <v>1564</v>
      </c>
      <c r="E13" s="19"/>
      <c r="F13" s="15" t="s">
        <v>1565</v>
      </c>
      <c r="G13" s="15" t="s">
        <v>1566</v>
      </c>
      <c r="H13" s="12"/>
      <c r="I13" s="12"/>
      <c r="J13" s="12" t="s">
        <v>1541</v>
      </c>
      <c r="K13" s="16"/>
      <c r="L13" s="7"/>
      <c r="M13" s="6" t="s">
        <v>1484</v>
      </c>
      <c r="N13" s="29" t="str">
        <f t="shared" si="0"/>
        <v>number</v>
      </c>
      <c r="O13" s="29" t="str">
        <f t="shared" si="1"/>
        <v/>
      </c>
      <c r="P13" s="29"/>
      <c r="Q13" s="19"/>
      <c r="R13" s="19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8"/>
      <c r="B14" s="48"/>
      <c r="C14" s="3" t="s">
        <v>1404</v>
      </c>
      <c r="D14" s="18" t="s">
        <v>1567</v>
      </c>
      <c r="E14" s="19"/>
      <c r="F14" s="15" t="s">
        <v>1568</v>
      </c>
      <c r="G14" s="15" t="s">
        <v>1569</v>
      </c>
      <c r="H14" s="12"/>
      <c r="I14" s="12"/>
      <c r="J14" s="12" t="s">
        <v>1542</v>
      </c>
      <c r="K14" s="16"/>
      <c r="L14" s="7"/>
      <c r="M14" s="6" t="s">
        <v>1484</v>
      </c>
      <c r="N14" s="29" t="str">
        <f t="shared" si="0"/>
        <v>number</v>
      </c>
      <c r="O14" s="29" t="str">
        <f t="shared" si="1"/>
        <v/>
      </c>
      <c r="P14" s="29"/>
      <c r="Q14" s="19"/>
      <c r="R14" s="19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8"/>
      <c r="B15" s="48"/>
      <c r="C15" s="3" t="s">
        <v>1404</v>
      </c>
      <c r="D15" s="18" t="s">
        <v>1570</v>
      </c>
      <c r="E15" s="19"/>
      <c r="F15" s="15" t="s">
        <v>1571</v>
      </c>
      <c r="G15" s="15" t="s">
        <v>1572</v>
      </c>
      <c r="H15" s="12"/>
      <c r="I15" s="12"/>
      <c r="J15" s="12"/>
      <c r="K15" s="16"/>
      <c r="L15" s="7"/>
      <c r="M15" s="6" t="s">
        <v>1484</v>
      </c>
      <c r="N15" s="29" t="str">
        <f t="shared" si="0"/>
        <v>number</v>
      </c>
      <c r="O15" s="29" t="str">
        <f t="shared" si="1"/>
        <v/>
      </c>
      <c r="P15" s="29"/>
      <c r="Q15" s="19"/>
      <c r="R15" s="19"/>
      <c r="S15" s="12">
        <v>1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8"/>
      <c r="B16" s="48"/>
      <c r="C16" s="3" t="s">
        <v>1404</v>
      </c>
      <c r="D16" s="18" t="s">
        <v>1573</v>
      </c>
      <c r="E16" s="19"/>
      <c r="F16" s="15" t="s">
        <v>1574</v>
      </c>
      <c r="G16" s="15" t="s">
        <v>1575</v>
      </c>
      <c r="H16" s="12"/>
      <c r="I16" s="12"/>
      <c r="J16" s="12"/>
      <c r="K16" s="16"/>
      <c r="L16" s="7"/>
      <c r="M16" s="6" t="s">
        <v>1576</v>
      </c>
      <c r="N16" s="29" t="str">
        <f t="shared" si="0"/>
        <v>boolean</v>
      </c>
      <c r="O16" s="29" t="str">
        <f t="shared" si="1"/>
        <v/>
      </c>
      <c r="P16" s="29"/>
      <c r="Q16" s="19"/>
      <c r="R16" s="19"/>
      <c r="S16" s="12" t="b">
        <v>0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8"/>
      <c r="B17" s="48"/>
      <c r="C17" s="3" t="s">
        <v>1404</v>
      </c>
      <c r="D17" s="18" t="s">
        <v>1577</v>
      </c>
      <c r="E17" s="19"/>
      <c r="F17" s="15" t="s">
        <v>1578</v>
      </c>
      <c r="G17" s="15" t="s">
        <v>1579</v>
      </c>
      <c r="H17" s="12"/>
      <c r="I17" s="12"/>
      <c r="J17" s="12"/>
      <c r="K17" s="16"/>
      <c r="L17" s="7"/>
      <c r="M17" s="6" t="s">
        <v>1576</v>
      </c>
      <c r="N17" s="29" t="str">
        <f t="shared" ref="N17:N32" si="2">_xlfn.IFS(M17="integer","integer",M17="number","number",M17="boolean","boolean",TRUE,"string")</f>
        <v>boolean</v>
      </c>
      <c r="O17" s="29" t="str">
        <f t="shared" ref="O17:O32" si="3">_xlfn.IFS(M17="date","date",M17="markdown","markdown",M17="time", "time",M17="uri","uri",M17="uuid","uuid",TRUE,"")</f>
        <v/>
      </c>
      <c r="P17" s="29"/>
      <c r="Q17" s="19"/>
      <c r="R17" s="19"/>
      <c r="S17" s="12" t="b">
        <v>0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8"/>
      <c r="B18" s="48"/>
      <c r="C18" s="3" t="s">
        <v>1404</v>
      </c>
      <c r="D18" s="18" t="s">
        <v>1580</v>
      </c>
      <c r="E18" s="19"/>
      <c r="F18" s="15" t="s">
        <v>1581</v>
      </c>
      <c r="G18" s="15" t="s">
        <v>1582</v>
      </c>
      <c r="H18" s="12"/>
      <c r="I18" s="12"/>
      <c r="J18" s="12"/>
      <c r="K18" s="16"/>
      <c r="L18" s="7"/>
      <c r="M18" s="6" t="s">
        <v>1576</v>
      </c>
      <c r="N18" s="29" t="str">
        <f t="shared" si="2"/>
        <v>boolean</v>
      </c>
      <c r="O18" s="29" t="str">
        <f t="shared" si="3"/>
        <v/>
      </c>
      <c r="P18" s="29"/>
      <c r="Q18" s="19"/>
      <c r="R18" s="19"/>
      <c r="S18" s="12" t="b">
        <v>1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8"/>
      <c r="B19" s="48"/>
      <c r="C19" s="3" t="s">
        <v>1404</v>
      </c>
      <c r="D19" s="18" t="s">
        <v>1583</v>
      </c>
      <c r="E19" s="19"/>
      <c r="F19" s="15" t="s">
        <v>1584</v>
      </c>
      <c r="G19" s="15" t="s">
        <v>1585</v>
      </c>
      <c r="H19" s="12"/>
      <c r="I19" s="12"/>
      <c r="J19" s="12"/>
      <c r="K19" s="16"/>
      <c r="L19" s="7"/>
      <c r="M19" s="6" t="s">
        <v>4</v>
      </c>
      <c r="N19" s="29" t="str">
        <f t="shared" si="2"/>
        <v>string</v>
      </c>
      <c r="O19" s="29" t="str">
        <f t="shared" si="3"/>
        <v/>
      </c>
      <c r="P19" s="29"/>
      <c r="Q19" s="19"/>
      <c r="R19" s="19"/>
      <c r="S19" s="12" t="s">
        <v>1627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8"/>
      <c r="B20" s="48"/>
      <c r="C20" s="3" t="s">
        <v>1404</v>
      </c>
      <c r="D20" s="18" t="s">
        <v>1586</v>
      </c>
      <c r="E20" s="19"/>
      <c r="F20" s="15" t="s">
        <v>1587</v>
      </c>
      <c r="G20" s="15" t="s">
        <v>1588</v>
      </c>
      <c r="H20" s="12"/>
      <c r="I20" s="12"/>
      <c r="J20" s="12"/>
      <c r="K20" s="16"/>
      <c r="L20" s="7"/>
      <c r="M20" s="6" t="s">
        <v>4</v>
      </c>
      <c r="N20" s="29" t="str">
        <f t="shared" si="2"/>
        <v>string</v>
      </c>
      <c r="O20" s="29" t="str">
        <f t="shared" si="3"/>
        <v/>
      </c>
      <c r="P20" s="29"/>
      <c r="Q20" s="19"/>
      <c r="R20" s="19"/>
      <c r="S20" s="12" t="s">
        <v>1628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48"/>
      <c r="B21" s="48"/>
      <c r="C21" s="3" t="s">
        <v>1404</v>
      </c>
      <c r="D21" s="18" t="s">
        <v>1589</v>
      </c>
      <c r="E21" s="19"/>
      <c r="F21" s="15" t="s">
        <v>1590</v>
      </c>
      <c r="G21" s="15" t="s">
        <v>1591</v>
      </c>
      <c r="H21" s="12"/>
      <c r="I21" s="12"/>
      <c r="J21" s="12"/>
      <c r="K21" s="16"/>
      <c r="L21" s="7"/>
      <c r="M21" s="6" t="s">
        <v>4</v>
      </c>
      <c r="N21" s="29" t="str">
        <f t="shared" si="2"/>
        <v>string</v>
      </c>
      <c r="O21" s="29" t="str">
        <f t="shared" si="3"/>
        <v/>
      </c>
      <c r="P21" s="29"/>
      <c r="Q21" s="19"/>
      <c r="R21" s="19"/>
      <c r="S21" s="12" t="s">
        <v>1629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>
      <c r="A22" s="48"/>
      <c r="B22" s="48"/>
      <c r="C22" s="3" t="s">
        <v>1404</v>
      </c>
      <c r="D22" s="18" t="s">
        <v>1592</v>
      </c>
      <c r="E22" s="19"/>
      <c r="F22" s="15" t="s">
        <v>1593</v>
      </c>
      <c r="G22" s="15" t="s">
        <v>1594</v>
      </c>
      <c r="H22" s="12"/>
      <c r="I22" s="12"/>
      <c r="J22" s="12"/>
      <c r="K22" s="16"/>
      <c r="L22" s="7"/>
      <c r="M22" s="6" t="s">
        <v>4</v>
      </c>
      <c r="N22" s="29" t="str">
        <f t="shared" si="2"/>
        <v>string</v>
      </c>
      <c r="O22" s="29" t="str">
        <f t="shared" si="3"/>
        <v/>
      </c>
      <c r="P22" s="29"/>
      <c r="Q22" s="19"/>
      <c r="R22" s="19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>
      <c r="A23" s="48"/>
      <c r="B23" s="48"/>
      <c r="C23" s="3" t="s">
        <v>1404</v>
      </c>
      <c r="D23" s="18" t="s">
        <v>1595</v>
      </c>
      <c r="E23" s="19"/>
      <c r="F23" s="15" t="s">
        <v>1596</v>
      </c>
      <c r="G23" s="15" t="s">
        <v>1597</v>
      </c>
      <c r="H23" s="12"/>
      <c r="I23" s="12"/>
      <c r="J23" s="12"/>
      <c r="K23" s="16"/>
      <c r="L23" s="7"/>
      <c r="M23" s="6" t="s">
        <v>4</v>
      </c>
      <c r="N23" s="29" t="str">
        <f t="shared" si="2"/>
        <v>string</v>
      </c>
      <c r="O23" s="29" t="str">
        <f t="shared" si="3"/>
        <v/>
      </c>
      <c r="P23" s="29"/>
      <c r="Q23" s="19"/>
      <c r="R23" s="19"/>
      <c r="S23" s="12" t="s">
        <v>1630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>
      <c r="A24" s="48"/>
      <c r="B24" s="48"/>
      <c r="C24" s="3" t="s">
        <v>1404</v>
      </c>
      <c r="D24" s="18" t="s">
        <v>1598</v>
      </c>
      <c r="E24" s="19"/>
      <c r="F24" s="15" t="s">
        <v>1599</v>
      </c>
      <c r="G24" s="15" t="s">
        <v>1600</v>
      </c>
      <c r="H24" s="12"/>
      <c r="I24" s="12"/>
      <c r="J24" s="12"/>
      <c r="K24" s="16"/>
      <c r="L24" s="7"/>
      <c r="M24" s="6" t="s">
        <v>4</v>
      </c>
      <c r="N24" s="29" t="str">
        <f t="shared" ref="N24:N30" si="4">_xlfn.IFS(M24="integer","integer",M24="number","number",M24="boolean","boolean",TRUE,"string")</f>
        <v>string</v>
      </c>
      <c r="O24" s="29" t="str">
        <f t="shared" ref="O24:O30" si="5">_xlfn.IFS(M24="date","date",M24="markdown","markdown",M24="time", "time",M24="uri","uri",M24="uuid","uuid",TRUE,"")</f>
        <v/>
      </c>
      <c r="P24" s="29"/>
      <c r="Q24" s="19"/>
      <c r="R24" s="19"/>
      <c r="S24" s="12" t="s">
        <v>1631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>
      <c r="A25" s="48"/>
      <c r="B25" s="48"/>
      <c r="C25" s="3" t="s">
        <v>1404</v>
      </c>
      <c r="D25" s="18" t="s">
        <v>1601</v>
      </c>
      <c r="E25" s="19"/>
      <c r="F25" s="15" t="s">
        <v>1602</v>
      </c>
      <c r="G25" s="15" t="s">
        <v>1603</v>
      </c>
      <c r="H25" s="12"/>
      <c r="I25" s="12"/>
      <c r="J25" s="12"/>
      <c r="K25" s="16"/>
      <c r="L25" s="7"/>
      <c r="M25" s="6" t="s">
        <v>4</v>
      </c>
      <c r="N25" s="29" t="str">
        <f t="shared" si="4"/>
        <v>string</v>
      </c>
      <c r="O25" s="29" t="str">
        <f t="shared" si="5"/>
        <v/>
      </c>
      <c r="P25" s="29"/>
      <c r="Q25" s="19"/>
      <c r="R25" s="19"/>
      <c r="S25" s="12" t="s">
        <v>399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>
      <c r="A26" s="48"/>
      <c r="B26" s="48"/>
      <c r="C26" s="3" t="s">
        <v>1404</v>
      </c>
      <c r="D26" s="18" t="s">
        <v>1604</v>
      </c>
      <c r="E26" s="19"/>
      <c r="F26" s="15" t="s">
        <v>1605</v>
      </c>
      <c r="G26" s="15" t="s">
        <v>1606</v>
      </c>
      <c r="H26" s="12"/>
      <c r="I26" s="12"/>
      <c r="J26" s="12"/>
      <c r="K26" s="16"/>
      <c r="L26" s="7"/>
      <c r="M26" s="6" t="s">
        <v>4</v>
      </c>
      <c r="N26" s="29" t="str">
        <f t="shared" si="4"/>
        <v>string</v>
      </c>
      <c r="O26" s="29" t="str">
        <f t="shared" si="5"/>
        <v/>
      </c>
      <c r="P26" s="29"/>
      <c r="Q26" s="19"/>
      <c r="R26" s="19"/>
      <c r="S26" s="12" t="s">
        <v>403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>
      <c r="A27" s="48"/>
      <c r="B27" s="48"/>
      <c r="C27" s="3" t="s">
        <v>1404</v>
      </c>
      <c r="D27" s="18" t="s">
        <v>1607</v>
      </c>
      <c r="E27" s="19"/>
      <c r="F27" s="15" t="s">
        <v>1608</v>
      </c>
      <c r="G27" s="15" t="s">
        <v>1609</v>
      </c>
      <c r="H27" s="12"/>
      <c r="I27" s="12"/>
      <c r="J27" s="12"/>
      <c r="K27" s="16"/>
      <c r="L27" s="7"/>
      <c r="M27" s="6" t="s">
        <v>4</v>
      </c>
      <c r="N27" s="29" t="str">
        <f t="shared" si="4"/>
        <v>string</v>
      </c>
      <c r="O27" s="29" t="str">
        <f t="shared" si="5"/>
        <v/>
      </c>
      <c r="P27" s="29"/>
      <c r="Q27" s="19"/>
      <c r="R27" s="19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>
      <c r="A28" s="48"/>
      <c r="B28" s="48"/>
      <c r="C28" s="3" t="s">
        <v>1404</v>
      </c>
      <c r="D28" s="18" t="s">
        <v>1610</v>
      </c>
      <c r="E28" s="19"/>
      <c r="F28" s="15" t="s">
        <v>1611</v>
      </c>
      <c r="G28" s="15" t="s">
        <v>1612</v>
      </c>
      <c r="H28" s="12"/>
      <c r="I28" s="12"/>
      <c r="J28" s="12"/>
      <c r="K28" s="16"/>
      <c r="L28" s="7"/>
      <c r="M28" s="6" t="s">
        <v>4</v>
      </c>
      <c r="N28" s="29" t="str">
        <f t="shared" si="4"/>
        <v>string</v>
      </c>
      <c r="O28" s="29" t="str">
        <f t="shared" si="5"/>
        <v/>
      </c>
      <c r="P28" s="29"/>
      <c r="Q28" s="19"/>
      <c r="R28" s="19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>
      <c r="A29" s="48"/>
      <c r="B29" s="48"/>
      <c r="C29" s="3" t="s">
        <v>1404</v>
      </c>
      <c r="D29" s="18" t="s">
        <v>1613</v>
      </c>
      <c r="E29" s="19"/>
      <c r="F29" s="15" t="s">
        <v>1614</v>
      </c>
      <c r="G29" s="15" t="s">
        <v>1615</v>
      </c>
      <c r="H29" s="12"/>
      <c r="I29" s="12"/>
      <c r="J29" s="12"/>
      <c r="K29" s="16"/>
      <c r="L29" s="7"/>
      <c r="M29" s="6" t="s">
        <v>4</v>
      </c>
      <c r="N29" s="29" t="str">
        <f t="shared" si="4"/>
        <v>string</v>
      </c>
      <c r="O29" s="29" t="str">
        <f t="shared" si="5"/>
        <v/>
      </c>
      <c r="P29" s="29"/>
      <c r="Q29" s="19"/>
      <c r="R29" s="19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>
      <c r="A30" s="48"/>
      <c r="B30" s="48"/>
      <c r="C30" s="3" t="s">
        <v>1404</v>
      </c>
      <c r="D30" s="18" t="s">
        <v>1616</v>
      </c>
      <c r="E30" s="19"/>
      <c r="F30" s="15" t="s">
        <v>1617</v>
      </c>
      <c r="G30" s="15" t="s">
        <v>1618</v>
      </c>
      <c r="H30" s="12"/>
      <c r="I30" s="12"/>
      <c r="J30" s="12"/>
      <c r="K30" s="16"/>
      <c r="L30" s="7"/>
      <c r="M30" s="6" t="s">
        <v>1472</v>
      </c>
      <c r="N30" s="29" t="str">
        <f t="shared" si="4"/>
        <v>string</v>
      </c>
      <c r="O30" s="29" t="str">
        <f t="shared" si="5"/>
        <v>date</v>
      </c>
      <c r="P30" s="29"/>
      <c r="Q30" s="19"/>
      <c r="R30" s="19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>
      <c r="A31" s="48"/>
      <c r="B31" s="48"/>
      <c r="C31" s="3" t="s">
        <v>1404</v>
      </c>
      <c r="D31" s="18" t="s">
        <v>1619</v>
      </c>
      <c r="E31" s="19"/>
      <c r="F31" s="15" t="s">
        <v>1620</v>
      </c>
      <c r="G31" s="15" t="s">
        <v>1621</v>
      </c>
      <c r="H31" s="12"/>
      <c r="I31" s="12"/>
      <c r="J31" s="12"/>
      <c r="K31" s="16"/>
      <c r="L31" s="7"/>
      <c r="M31" s="6" t="s">
        <v>4</v>
      </c>
      <c r="N31" s="29" t="str">
        <f t="shared" si="2"/>
        <v>string</v>
      </c>
      <c r="O31" s="29" t="str">
        <f t="shared" si="3"/>
        <v/>
      </c>
      <c r="P31" s="29"/>
      <c r="Q31" s="19"/>
      <c r="R31" s="19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>
      <c r="A32" s="48"/>
      <c r="B32" s="48"/>
      <c r="C32" s="3" t="s">
        <v>1404</v>
      </c>
      <c r="D32" s="18" t="s">
        <v>1622</v>
      </c>
      <c r="E32" s="19"/>
      <c r="F32" s="15" t="s">
        <v>1623</v>
      </c>
      <c r="G32" s="15" t="s">
        <v>1624</v>
      </c>
      <c r="H32" s="12"/>
      <c r="I32" s="12"/>
      <c r="J32" s="12"/>
      <c r="K32" s="16"/>
      <c r="L32" s="7"/>
      <c r="M32" s="6" t="s">
        <v>4</v>
      </c>
      <c r="N32" s="29" t="str">
        <f t="shared" si="2"/>
        <v>string</v>
      </c>
      <c r="O32" s="29" t="str">
        <f t="shared" si="3"/>
        <v/>
      </c>
      <c r="P32" s="29"/>
      <c r="Q32" s="19"/>
      <c r="R32" s="19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>
      <c r="A33" s="48"/>
      <c r="B33" s="48"/>
      <c r="C33" s="3" t="s">
        <v>44</v>
      </c>
      <c r="D33" s="18"/>
      <c r="E33" s="19"/>
      <c r="F33" s="15"/>
      <c r="G33" s="15"/>
      <c r="H33" s="12"/>
      <c r="I33" s="12"/>
      <c r="J33" s="12"/>
      <c r="K33" s="16"/>
      <c r="L33" s="7"/>
      <c r="M33" s="6" t="s">
        <v>4</v>
      </c>
      <c r="N33" s="29" t="str">
        <f t="shared" si="0"/>
        <v>string</v>
      </c>
      <c r="O33" s="29" t="str">
        <f t="shared" si="1"/>
        <v/>
      </c>
      <c r="P33" s="29"/>
      <c r="Q33" s="19"/>
      <c r="R33" s="19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>
      <c r="A34" s="48"/>
      <c r="B34" s="48"/>
      <c r="C34" s="3" t="s">
        <v>44</v>
      </c>
      <c r="D34" s="18"/>
      <c r="E34" s="19"/>
      <c r="F34" s="15"/>
      <c r="G34" s="15"/>
      <c r="H34" s="12"/>
      <c r="I34" s="12"/>
      <c r="J34" s="12"/>
      <c r="K34" s="16"/>
      <c r="L34" s="7"/>
      <c r="M34" s="6" t="s">
        <v>4</v>
      </c>
      <c r="N34" s="29" t="str">
        <f t="shared" ref="N34" si="6">_xlfn.IFS(M34="integer","integer",M34="number","number",M34="boolean","boolean",TRUE,"string")</f>
        <v>string</v>
      </c>
      <c r="O34" s="29" t="str">
        <f t="shared" ref="O34" si="7">_xlfn.IFS(M34="date","date",M34="markdown","markdown",M34="time", "time",M34="uri","uri",M34="uuid","uuid",TRUE,"")</f>
        <v/>
      </c>
      <c r="P34" s="29" t="str">
        <f t="shared" ref="P34" si="8">_xlfn.IFS(M34="textarea","textarea",TRUE,"")</f>
        <v/>
      </c>
      <c r="Q34" s="19"/>
      <c r="R34" s="19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>
      <c r="A35" s="52" t="s">
        <v>1379</v>
      </c>
      <c r="B35" s="48" t="s">
        <v>79</v>
      </c>
      <c r="C35" s="3" t="s">
        <v>44</v>
      </c>
      <c r="D35" s="15" t="s">
        <v>34</v>
      </c>
      <c r="E35" s="19"/>
      <c r="F35" s="15" t="s">
        <v>1432</v>
      </c>
      <c r="G35" s="15" t="s">
        <v>1433</v>
      </c>
      <c r="H35" s="12"/>
      <c r="I35" s="12"/>
      <c r="J35" s="19"/>
      <c r="K35" s="16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>
      <c r="A36" s="53"/>
      <c r="B36" s="48"/>
      <c r="C36" s="3" t="s">
        <v>44</v>
      </c>
      <c r="D36" s="15" t="s">
        <v>35</v>
      </c>
      <c r="E36" s="19"/>
      <c r="F36" s="15" t="s">
        <v>1434</v>
      </c>
      <c r="G36" s="15" t="s">
        <v>1435</v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>
      <c r="A37" s="53"/>
      <c r="B37" s="48"/>
      <c r="C37" s="3" t="s">
        <v>44</v>
      </c>
      <c r="D37" s="15" t="s">
        <v>36</v>
      </c>
      <c r="E37" s="19"/>
      <c r="F37" s="15" t="s">
        <v>1436</v>
      </c>
      <c r="G37" s="15" t="s">
        <v>1437</v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>
      <c r="A38" s="53"/>
      <c r="B38" s="48"/>
      <c r="C38" s="3" t="s">
        <v>44</v>
      </c>
      <c r="D38" s="15" t="s">
        <v>37</v>
      </c>
      <c r="E38" s="19"/>
      <c r="F38" s="15" t="s">
        <v>1438</v>
      </c>
      <c r="G38" s="15" t="s">
        <v>1439</v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>
      <c r="A39" s="53"/>
      <c r="B39" s="48"/>
      <c r="C39" s="3" t="s">
        <v>44</v>
      </c>
      <c r="D39" s="15" t="s">
        <v>38</v>
      </c>
      <c r="E39" s="19"/>
      <c r="F39" s="15" t="s">
        <v>1440</v>
      </c>
      <c r="G39" s="15" t="s">
        <v>1441</v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>
      <c r="A40" s="53"/>
      <c r="B40" s="48"/>
      <c r="C40" s="3" t="s">
        <v>44</v>
      </c>
      <c r="D40" s="15" t="s">
        <v>39</v>
      </c>
      <c r="E40" s="19"/>
      <c r="F40" s="15" t="s">
        <v>1442</v>
      </c>
      <c r="G40" s="15" t="s">
        <v>1443</v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>
      <c r="A41" s="54"/>
      <c r="B41" s="48"/>
      <c r="C41" s="3" t="s">
        <v>44</v>
      </c>
      <c r="D41" s="15" t="s">
        <v>16</v>
      </c>
      <c r="E41" s="19"/>
      <c r="F41" s="15" t="s">
        <v>1444</v>
      </c>
      <c r="G41" s="15" t="s">
        <v>1445</v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>
      <c r="A42" s="52" t="s">
        <v>1380</v>
      </c>
      <c r="B42" s="48" t="s">
        <v>40</v>
      </c>
      <c r="C42" s="3" t="s">
        <v>44</v>
      </c>
      <c r="D42" s="18" t="str">
        <f>IFERROR(INDEX(sample.general_sample_term!A:H,MATCH($E42,sample.general_sample_term!C:C,FALSE),2),"")</f>
        <v>sample.general.general-name</v>
      </c>
      <c r="E42" s="14" t="s">
        <v>1274</v>
      </c>
      <c r="F42" s="18" t="str">
        <f>IFERROR(INDEX(sample.general_sample_term!A:H,MATCH($E42,sample.general_sample_term!C:C,FALSE),3),"")</f>
        <v>一般名称</v>
      </c>
      <c r="G42" s="18" t="str">
        <f>IFERROR(INDEX(sample.general_sample_term!A:H,MATCH($E42,sample.general_sample_term!C:C,FALSE),4),"")</f>
        <v>General name</v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IFERROR(INDEX(sample.general_sample_term!A:H,MATCH($E42,sample.general_sample_term!C:C,FALSE),5),"")</f>
        <v>一般名称を入力してください</v>
      </c>
      <c r="V42" s="18" t="str">
        <f>IFERROR(INDEX(sample.general_sample_term!A:H,MATCH($E42,sample.general_sample_term!C:C,FALSE),6),"")</f>
        <v>Please enter General name</v>
      </c>
      <c r="W42" s="19"/>
      <c r="X42" s="19"/>
      <c r="Y42" s="19"/>
      <c r="Z42" s="19"/>
      <c r="AA42" s="19"/>
      <c r="AB42" s="19"/>
      <c r="AC42" s="19"/>
    </row>
    <row r="43" spans="1:29">
      <c r="A43" s="53"/>
      <c r="B43" s="48"/>
      <c r="C43" s="3" t="s">
        <v>44</v>
      </c>
      <c r="D43" s="18" t="str">
        <f>IFERROR(INDEX(sample.general_sample_term!A:H,MATCH($E43,sample.general_sample_term!C:C,FALSE),2),"")</f>
        <v>sample.general.cas-number</v>
      </c>
      <c r="E43" s="14" t="s">
        <v>1160</v>
      </c>
      <c r="F43" s="18" t="str">
        <f>IFERROR(INDEX(sample.general_sample_term!A:H,MATCH($E43,sample.general_sample_term!C:C,FALSE),3),"")</f>
        <v>CAS番号</v>
      </c>
      <c r="G43" s="18" t="str">
        <f>IFERROR(INDEX(sample.general_sample_term!A:H,MATCH($E43,sample.general_sample_term!C:C,FALSE),4),"")</f>
        <v>CAS Number</v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IFERROR(INDEX(sample.general_sample_term!A:H,MATCH($E43,sample.general_sample_term!C:C,FALSE),5),"")</f>
        <v>CAS番号を入力してください</v>
      </c>
      <c r="V43" s="18" t="str">
        <f>IFERROR(INDEX(sample.general_sample_term!A:H,MATCH($E43,sample.general_sample_term!C:C,FALSE),6),"")</f>
        <v>Please enter CAS Number</v>
      </c>
      <c r="W43" s="19"/>
      <c r="X43" s="19"/>
      <c r="Y43" s="19"/>
      <c r="Z43" s="19"/>
      <c r="AA43" s="19"/>
      <c r="AB43" s="19"/>
      <c r="AC43" s="19"/>
    </row>
    <row r="44" spans="1:29">
      <c r="A44" s="53"/>
      <c r="B44" s="48"/>
      <c r="C44" s="3" t="s">
        <v>44</v>
      </c>
      <c r="D44" s="18" t="str">
        <f>IFERROR(INDEX(sample.general_sample_term!A:H,MATCH($E44,sample.general_sample_term!C:C,FALSE),2),"")</f>
        <v>sample.general.crystal-structure</v>
      </c>
      <c r="E44" s="14" t="s">
        <v>1175</v>
      </c>
      <c r="F44" s="18" t="str">
        <f>IFERROR(INDEX(sample.general_sample_term!A:H,MATCH($E44,sample.general_sample_term!C:C,FALSE),3),"")</f>
        <v>結晶構造</v>
      </c>
      <c r="G44" s="18" t="str">
        <f>IFERROR(INDEX(sample.general_sample_term!A:H,MATCH($E44,sample.general_sample_term!C:C,FALSE),4),"")</f>
        <v>Crystal structure</v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IFERROR(INDEX(sample.general_sample_term!A:H,MATCH($E44,sample.general_sample_term!C:C,FALSE),5),"")</f>
        <v>結晶構造を入力してください</v>
      </c>
      <c r="V44" s="18" t="str">
        <f>IFERROR(INDEX(sample.general_sample_term!A:H,MATCH($E44,sample.general_sample_term!C:C,FALSE),6),"")</f>
        <v>Please enter Crystal structure</v>
      </c>
      <c r="W44" s="19"/>
      <c r="X44" s="19"/>
      <c r="Y44" s="19"/>
      <c r="Z44" s="19"/>
      <c r="AA44" s="19"/>
      <c r="AB44" s="19"/>
      <c r="AC44" s="19"/>
    </row>
    <row r="45" spans="1:29">
      <c r="A45" s="53"/>
      <c r="B45" s="48"/>
      <c r="C45" s="3" t="s">
        <v>44</v>
      </c>
      <c r="D45" s="18" t="str">
        <f>IFERROR(INDEX(sample.general_sample_term!A:H,MATCH($E45,sample.general_sample_term!C:C,FALSE),2),"")</f>
        <v>sample.general.sample-shape</v>
      </c>
      <c r="E45" s="14" t="s">
        <v>1191</v>
      </c>
      <c r="F45" s="18" t="str">
        <f>IFERROR(INDEX(sample.general_sample_term!A:H,MATCH($E45,sample.general_sample_term!C:C,FALSE),3),"")</f>
        <v>試料形状</v>
      </c>
      <c r="G45" s="18" t="str">
        <f>IFERROR(INDEX(sample.general_sample_term!A:H,MATCH($E45,sample.general_sample_term!C:C,FALSE),4),"")</f>
        <v>Sample shape</v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IFERROR(INDEX(sample.general_sample_term!A:H,MATCH($E45,sample.general_sample_term!C:C,FALSE),5),"")</f>
        <v>試料形状を入力してください</v>
      </c>
      <c r="V45" s="18" t="str">
        <f>IFERROR(INDEX(sample.general_sample_term!A:H,MATCH($E45,sample.general_sample_term!C:C,FALSE),6),"")</f>
        <v>Please enter Sample shape</v>
      </c>
      <c r="W45" s="19"/>
      <c r="X45" s="19"/>
      <c r="Y45" s="19"/>
      <c r="Z45" s="19"/>
      <c r="AA45" s="19"/>
      <c r="AB45" s="19"/>
      <c r="AC45" s="19"/>
    </row>
    <row r="46" spans="1:29">
      <c r="A46" s="53"/>
      <c r="B46" s="48"/>
      <c r="C46" s="3" t="s">
        <v>44</v>
      </c>
      <c r="D46" s="18" t="str">
        <f>IFERROR(INDEX(sample.general_sample_term!A:H,MATCH($E46,sample.general_sample_term!C:C,FALSE),2),"")</f>
        <v>sample.general.purchase-date</v>
      </c>
      <c r="E46" s="14" t="s">
        <v>1165</v>
      </c>
      <c r="F46" s="18" t="str">
        <f>IFERROR(INDEX(sample.general_sample_term!A:H,MATCH($E46,sample.general_sample_term!C:C,FALSE),3),"")</f>
        <v>試料購入日</v>
      </c>
      <c r="G46" s="18" t="str">
        <f>IFERROR(INDEX(sample.general_sample_term!A:H,MATCH($E46,sample.general_sample_term!C:C,FALSE),4),"")</f>
        <v>Purchase date</v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IFERROR(INDEX(sample.general_sample_term!A:H,MATCH($E46,sample.general_sample_term!C:C,FALSE),5),"")</f>
        <v>試料購入日を入力してください</v>
      </c>
      <c r="V46" s="18" t="str">
        <f>IFERROR(INDEX(sample.general_sample_term!A:H,MATCH($E46,sample.general_sample_term!C:C,FALSE),6),"")</f>
        <v>Please enter Purchase date</v>
      </c>
      <c r="W46" s="19"/>
      <c r="X46" s="19"/>
      <c r="Y46" s="19"/>
      <c r="Z46" s="19"/>
      <c r="AA46" s="19"/>
      <c r="AB46" s="19"/>
      <c r="AC46" s="19"/>
    </row>
    <row r="47" spans="1:29">
      <c r="A47" s="53"/>
      <c r="B47" s="48"/>
      <c r="C47" s="3" t="s">
        <v>44</v>
      </c>
      <c r="D47" s="18" t="str">
        <f>IFERROR(INDEX(sample.general_sample_term!A:H,MATCH($E47,sample.general_sample_term!C:C,FALSE),2),"")</f>
        <v>sample.general.supplier</v>
      </c>
      <c r="E47" s="14" t="s">
        <v>834</v>
      </c>
      <c r="F47" s="18" t="str">
        <f>IFERROR(INDEX(sample.general_sample_term!A:H,MATCH($E47,sample.general_sample_term!C:C,FALSE),3),"")</f>
        <v>購入元</v>
      </c>
      <c r="G47" s="18" t="str">
        <f>IFERROR(INDEX(sample.general_sample_term!A:H,MATCH($E47,sample.general_sample_term!C:C,FALSE),4),"")</f>
        <v>Supplier</v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IFERROR(INDEX(sample.general_sample_term!A:H,MATCH($E47,sample.general_sample_term!C:C,FALSE),5),"")</f>
        <v/>
      </c>
      <c r="V47" s="18" t="str">
        <f>IFERROR(INDEX(sample.general_sample_term!A:H,MATCH($E47,sample.general_sample_term!C:C,FALSE),6),"")</f>
        <v/>
      </c>
      <c r="W47" s="19"/>
      <c r="X47" s="19"/>
      <c r="Y47" s="19"/>
      <c r="Z47" s="19"/>
      <c r="AA47" s="19"/>
      <c r="AB47" s="19"/>
      <c r="AC47" s="19"/>
    </row>
    <row r="48" spans="1:29">
      <c r="A48" s="53"/>
      <c r="B48" s="48"/>
      <c r="C48" s="3" t="s">
        <v>44</v>
      </c>
      <c r="D48" s="18" t="str">
        <f>IFERROR(INDEX(sample.general_sample_term!A:H,MATCH($E48,sample.general_sample_term!C:C,FALSE),2),"")</f>
        <v>sample.general.lot-number-or-product-number-etc</v>
      </c>
      <c r="E48" s="14" t="s">
        <v>1156</v>
      </c>
      <c r="F48" s="18" t="str">
        <f>IFERROR(INDEX(sample.general_sample_term!A:H,MATCH($E48,sample.general_sample_term!C:C,FALSE),3),"")</f>
        <v>ロット番号、製造番号など</v>
      </c>
      <c r="G48" s="18" t="str">
        <f>IFERROR(INDEX(sample.general_sample_term!A:H,MATCH($E48,sample.general_sample_term!C:C,FALSE),4),"")</f>
        <v>Lot number or product number etc</v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IFERROR(INDEX(sample.general_sample_term!A:H,MATCH($E48,sample.general_sample_term!C:C,FALSE),5),"")</f>
        <v/>
      </c>
      <c r="V48" s="18" t="str">
        <f>IFERROR(INDEX(sample.general_sample_term!A:H,MATCH($E48,sample.general_sample_term!C:C,FALSE),6),"")</f>
        <v/>
      </c>
      <c r="W48" s="19"/>
      <c r="X48" s="19"/>
      <c r="Y48" s="19"/>
      <c r="Z48" s="19"/>
      <c r="AA48" s="19"/>
      <c r="AB48" s="19"/>
      <c r="AC48" s="19"/>
    </row>
    <row r="49" spans="1:29">
      <c r="A49" s="53"/>
      <c r="B49" s="48"/>
      <c r="C49" s="3" t="s">
        <v>44</v>
      </c>
      <c r="D49" s="18" t="str">
        <f>IFERROR(INDEX(sample.general_sample_term!A:H,MATCH($E49,sample.general_sample_term!C:C,FALSE),2),"")</f>
        <v/>
      </c>
      <c r="E49" s="14"/>
      <c r="F49" s="18" t="str">
        <f>IFERROR(INDEX(sample.general_sample_term!A:H,MATCH($E49,sample.general_sample_term!C:C,FALSE),3),"")</f>
        <v/>
      </c>
      <c r="G49" s="18" t="str">
        <f>IFERROR(INDEX(sample.general_sample_term!A:H,MATCH($E49,sample.general_sample_term!C:C,FALSE),4),"")</f>
        <v/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8" t="str">
        <f>IFERROR(INDEX(sample.general_sample_term!A:H,MATCH($E49,sample.general_sample_term!C:C,FALSE),5),"")</f>
        <v/>
      </c>
      <c r="V49" s="18" t="str">
        <f>IFERROR(INDEX(sample.general_sample_term!A:H,MATCH($E49,sample.general_sample_term!C:C,FALSE),6),"")</f>
        <v/>
      </c>
      <c r="W49" s="19"/>
      <c r="X49" s="19"/>
      <c r="Y49" s="19"/>
      <c r="Z49" s="19"/>
      <c r="AA49" s="19"/>
      <c r="AB49" s="19"/>
      <c r="AC49" s="19"/>
    </row>
    <row r="50" spans="1:29">
      <c r="A50" s="54"/>
      <c r="B50" s="48"/>
      <c r="C50" s="3" t="s">
        <v>44</v>
      </c>
      <c r="D50" s="18" t="str">
        <f>IFERROR(INDEX(sample.general_sample_term!A:H,MATCH($E50,sample.general_sample_term!C:C,FALSE),2),"")</f>
        <v/>
      </c>
      <c r="E50" s="14"/>
      <c r="F50" s="18" t="str">
        <f>IFERROR(INDEX(sample.general_sample_term!A:H,MATCH($E50,sample.general_sample_term!C:C,FALSE),3),"")</f>
        <v/>
      </c>
      <c r="G50" s="18" t="str">
        <f>IFERROR(INDEX(sample.general_sample_term!A:H,MATCH($E50,sample.general_sample_term!C:C,FALSE),4),"")</f>
        <v/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8" t="str">
        <f>IFERROR(INDEX(sample.general_sample_term!A:H,MATCH($E50,sample.general_sample_term!C:C,FALSE),5),"")</f>
        <v/>
      </c>
      <c r="V50" s="18" t="str">
        <f>IFERROR(INDEX(sample.general_sample_term!A:H,MATCH($E50,sample.general_sample_term!C:C,FALSE),6),"")</f>
        <v/>
      </c>
      <c r="W50" s="19"/>
      <c r="X50" s="19"/>
      <c r="Y50" s="19"/>
      <c r="Z50" s="19"/>
      <c r="AA50" s="19"/>
      <c r="AB50" s="19"/>
      <c r="AC50" s="19"/>
    </row>
    <row r="51" spans="1:29">
      <c r="A51" s="52" t="s">
        <v>1381</v>
      </c>
      <c r="B51" s="48" t="s">
        <v>41</v>
      </c>
      <c r="C51" s="3" t="s">
        <v>44</v>
      </c>
      <c r="D51" s="18" t="str">
        <f>IFERROR(INDEX(sample.specific_sample_term!A:M,MATCH($E51,sample.specific_sample_term!L:L,FALSE),3),"")</f>
        <v/>
      </c>
      <c r="E51" s="14"/>
      <c r="F51" s="18" t="str">
        <f>IFERROR(INDEX(sample.specific_sample_term!A:M,MATCH($E51,sample.specific_sample_term!L:L,FALSE),12),"")</f>
        <v/>
      </c>
      <c r="G51" s="18" t="str">
        <f>IFERROR(INDEX(sample.specific_sample_term!A:M,MATCH($E51,sample.specific_sample_term!L:L,FALSE),13),"")</f>
        <v/>
      </c>
      <c r="H51" s="12"/>
      <c r="I51" s="12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8" t="str">
        <f>IFERROR(INDEX(sample.specific_sample_term!A:M,MATCH($E51,sample.specific_sample_term!L:L,FALSE),8),"")</f>
        <v/>
      </c>
      <c r="V51" s="18" t="str">
        <f>IFERROR(INDEX(sample.specific_sample_term!A:M,MATCH($E51,sample.specific_sample_term!L:L,FALSE),9),"")</f>
        <v/>
      </c>
      <c r="W51" s="19"/>
      <c r="X51" s="19"/>
      <c r="Y51" s="19"/>
      <c r="Z51" s="19"/>
      <c r="AA51" s="19"/>
      <c r="AB51" s="19"/>
      <c r="AC51" s="19"/>
    </row>
    <row r="52" spans="1:29">
      <c r="A52" s="53"/>
      <c r="B52" s="48"/>
      <c r="C52" s="3" t="s">
        <v>44</v>
      </c>
      <c r="D52" s="18" t="str">
        <f>IFERROR(INDEX(sample.specific_sample_term!A:M,MATCH($E52,sample.specific_sample_term!L:L,FALSE),3),"")</f>
        <v/>
      </c>
      <c r="E52" s="14"/>
      <c r="F52" s="18" t="str">
        <f>IFERROR(INDEX(sample.specific_sample_term!A:M,MATCH($E52,sample.specific_sample_term!L:L,FALSE),12),"")</f>
        <v/>
      </c>
      <c r="G52" s="18" t="str">
        <f>IFERROR(INDEX(sample.specific_sample_term!A:M,MATCH($E52,sample.specific_sample_term!L:L,FALSE),13),"")</f>
        <v/>
      </c>
      <c r="H52" s="12"/>
      <c r="I52" s="12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8" t="str">
        <f>IFERROR(INDEX(sample.specific_sample_term!A:M,MATCH($E52,sample.specific_sample_term!L:L,FALSE),8),"")</f>
        <v/>
      </c>
      <c r="V52" s="18" t="str">
        <f>IFERROR(INDEX(sample.specific_sample_term!A:M,MATCH($E52,sample.specific_sample_term!L:L,FALSE),9),"")</f>
        <v/>
      </c>
      <c r="W52" s="19"/>
      <c r="X52" s="19"/>
      <c r="Y52" s="19"/>
      <c r="Z52" s="19"/>
      <c r="AA52" s="19"/>
      <c r="AB52" s="19"/>
      <c r="AC52" s="19"/>
    </row>
    <row r="53" spans="1:29">
      <c r="A53" s="53"/>
      <c r="B53" s="48"/>
      <c r="C53" s="3" t="s">
        <v>44</v>
      </c>
      <c r="D53" s="18" t="str">
        <f>IFERROR(INDEX(sample.specific_sample_term!A:M,MATCH($E53,sample.specific_sample_term!L:L,FALSE),3),"")</f>
        <v/>
      </c>
      <c r="E53" s="14"/>
      <c r="F53" s="18" t="str">
        <f>IFERROR(INDEX(sample.specific_sample_term!A:M,MATCH($E53,sample.specific_sample_term!L:L,FALSE),12),"")</f>
        <v/>
      </c>
      <c r="G53" s="18" t="str">
        <f>IFERROR(INDEX(sample.specific_sample_term!A:M,MATCH($E53,sample.specific_sample_term!L:L,FALSE),13),"")</f>
        <v/>
      </c>
      <c r="H53" s="12"/>
      <c r="I53" s="12"/>
      <c r="J53" s="19"/>
      <c r="K53" s="17"/>
      <c r="L53" s="19"/>
      <c r="M53" s="19"/>
      <c r="N53" s="19"/>
      <c r="O53" s="19"/>
      <c r="P53" s="19"/>
      <c r="Q53" s="19"/>
      <c r="R53" s="19"/>
      <c r="S53" s="19"/>
      <c r="T53" s="19"/>
      <c r="U53" s="18" t="str">
        <f>IFERROR(INDEX(sample.specific_sample_term!A:M,MATCH($E53,sample.specific_sample_term!L:L,FALSE),8),"")</f>
        <v/>
      </c>
      <c r="V53" s="18" t="str">
        <f>IFERROR(INDEX(sample.specific_sample_term!A:M,MATCH($E53,sample.specific_sample_term!L:L,FALSE),9),"")</f>
        <v/>
      </c>
      <c r="W53" s="19"/>
      <c r="X53" s="19"/>
      <c r="Y53" s="19"/>
      <c r="Z53" s="19"/>
      <c r="AA53" s="19"/>
      <c r="AB53" s="19"/>
      <c r="AC53" s="19"/>
    </row>
    <row r="54" spans="1:29">
      <c r="A54" s="53"/>
      <c r="B54" s="48"/>
      <c r="C54" s="3" t="s">
        <v>44</v>
      </c>
      <c r="D54" s="18" t="str">
        <f>IFERROR(INDEX(sample.specific_sample_term!A:M,MATCH($E54,sample.specific_sample_term!L:L,FALSE),3),"")</f>
        <v/>
      </c>
      <c r="E54" s="14"/>
      <c r="F54" s="18" t="str">
        <f>IFERROR(INDEX(sample.specific_sample_term!A:M,MATCH($E54,sample.specific_sample_term!L:L,FALSE),12),"")</f>
        <v/>
      </c>
      <c r="G54" s="18" t="str">
        <f>IFERROR(INDEX(sample.specific_sample_term!A:M,MATCH($E54,sample.specific_sample_term!L:L,FALSE),13),"")</f>
        <v/>
      </c>
      <c r="H54" s="12"/>
      <c r="I54" s="12"/>
      <c r="J54" s="19"/>
      <c r="K54" s="17"/>
      <c r="L54" s="19"/>
      <c r="M54" s="19"/>
      <c r="N54" s="19"/>
      <c r="O54" s="19"/>
      <c r="P54" s="19"/>
      <c r="Q54" s="19"/>
      <c r="R54" s="19"/>
      <c r="S54" s="19"/>
      <c r="T54" s="19"/>
      <c r="U54" s="18" t="str">
        <f>IFERROR(INDEX(sample.specific_sample_term!A:M,MATCH($E54,sample.specific_sample_term!L:L,FALSE),8),"")</f>
        <v/>
      </c>
      <c r="V54" s="18" t="str">
        <f>IFERROR(INDEX(sample.specific_sample_term!A:M,MATCH($E54,sample.specific_sample_term!L:L,FALSE),9),"")</f>
        <v/>
      </c>
      <c r="W54" s="19"/>
      <c r="X54" s="19"/>
      <c r="Y54" s="19"/>
      <c r="Z54" s="19"/>
      <c r="AA54" s="19"/>
      <c r="AB54" s="19"/>
      <c r="AC54" s="19"/>
    </row>
    <row r="55" spans="1:29">
      <c r="A55" s="53"/>
      <c r="B55" s="48"/>
      <c r="C55" s="3" t="s">
        <v>44</v>
      </c>
      <c r="D55" s="18" t="str">
        <f>IFERROR(INDEX(sample.specific_sample_term!A:M,MATCH($E55,sample.specific_sample_term!L:L,FALSE),3),"")</f>
        <v/>
      </c>
      <c r="E55" s="14"/>
      <c r="F55" s="18" t="str">
        <f>IFERROR(INDEX(sample.specific_sample_term!A:M,MATCH($E55,sample.specific_sample_term!L:L,FALSE),12),"")</f>
        <v/>
      </c>
      <c r="G55" s="18" t="str">
        <f>IFERROR(INDEX(sample.specific_sample_term!A:M,MATCH($E55,sample.specific_sample_term!L:L,FALSE),13),"")</f>
        <v/>
      </c>
      <c r="H55" s="12"/>
      <c r="I55" s="12"/>
      <c r="J55" s="19"/>
      <c r="K55" s="17"/>
      <c r="L55" s="19"/>
      <c r="M55" s="19"/>
      <c r="N55" s="19"/>
      <c r="O55" s="19"/>
      <c r="P55" s="19"/>
      <c r="Q55" s="19"/>
      <c r="R55" s="19"/>
      <c r="S55" s="19"/>
      <c r="T55" s="19"/>
      <c r="U55" s="18" t="str">
        <f>IFERROR(INDEX(sample.specific_sample_term!A:M,MATCH($E55,sample.specific_sample_term!L:L,FALSE),8),"")</f>
        <v/>
      </c>
      <c r="V55" s="18" t="str">
        <f>IFERROR(INDEX(sample.specific_sample_term!A:M,MATCH($E55,sample.specific_sample_term!L:L,FALSE),9),"")</f>
        <v/>
      </c>
      <c r="W55" s="19"/>
      <c r="X55" s="19"/>
      <c r="Y55" s="19"/>
      <c r="Z55" s="19"/>
      <c r="AA55" s="19"/>
      <c r="AB55" s="19"/>
      <c r="AC55" s="19"/>
    </row>
    <row r="56" spans="1:29">
      <c r="A56" s="53"/>
      <c r="B56" s="48"/>
      <c r="C56" s="3" t="s">
        <v>44</v>
      </c>
      <c r="D56" s="18" t="str">
        <f>IFERROR(INDEX(sample.specific_sample_term!A:M,MATCH($E56,sample.specific_sample_term!L:L,FALSE),3),"")</f>
        <v/>
      </c>
      <c r="E56" s="14"/>
      <c r="F56" s="18" t="str">
        <f>IFERROR(INDEX(sample.specific_sample_term!A:M,MATCH($E56,sample.specific_sample_term!L:L,FALSE),12),"")</f>
        <v/>
      </c>
      <c r="G56" s="18" t="str">
        <f>IFERROR(INDEX(sample.specific_sample_term!A:M,MATCH($E56,sample.specific_sample_term!L:L,FALSE),13),"")</f>
        <v/>
      </c>
      <c r="H56" s="12"/>
      <c r="I56" s="12"/>
      <c r="J56" s="19"/>
      <c r="K56" s="17"/>
      <c r="L56" s="19"/>
      <c r="M56" s="19"/>
      <c r="N56" s="19"/>
      <c r="O56" s="19"/>
      <c r="P56" s="19"/>
      <c r="Q56" s="19"/>
      <c r="R56" s="19"/>
      <c r="S56" s="19"/>
      <c r="T56" s="19"/>
      <c r="U56" s="18" t="str">
        <f>IFERROR(INDEX(sample.specific_sample_term!A:M,MATCH($E56,sample.specific_sample_term!L:L,FALSE),8),"")</f>
        <v/>
      </c>
      <c r="V56" s="18" t="str">
        <f>IFERROR(INDEX(sample.specific_sample_term!A:M,MATCH($E56,sample.specific_sample_term!L:L,FALSE),9),"")</f>
        <v/>
      </c>
      <c r="W56" s="19"/>
      <c r="X56" s="19"/>
      <c r="Y56" s="19"/>
      <c r="Z56" s="19"/>
      <c r="AA56" s="19"/>
      <c r="AB56" s="19"/>
      <c r="AC56" s="19"/>
    </row>
    <row r="57" spans="1:29">
      <c r="A57" s="53"/>
      <c r="B57" s="48"/>
      <c r="C57" s="3" t="s">
        <v>44</v>
      </c>
      <c r="D57" s="18" t="str">
        <f>IFERROR(INDEX(sample.specific_sample_term!A:M,MATCH($E57,sample.specific_sample_term!L:L,FALSE),3),"")</f>
        <v/>
      </c>
      <c r="E57" s="14"/>
      <c r="F57" s="18" t="str">
        <f>IFERROR(INDEX(sample.specific_sample_term!A:M,MATCH($E57,sample.specific_sample_term!L:L,FALSE),12),"")</f>
        <v/>
      </c>
      <c r="G57" s="18" t="str">
        <f>IFERROR(INDEX(sample.specific_sample_term!A:M,MATCH($E57,sample.specific_sample_term!L:L,FALSE),13),"")</f>
        <v/>
      </c>
      <c r="H57" s="12"/>
      <c r="I57" s="12"/>
      <c r="J57" s="19"/>
      <c r="K57" s="17"/>
      <c r="L57" s="19"/>
      <c r="M57" s="19"/>
      <c r="N57" s="19"/>
      <c r="O57" s="19"/>
      <c r="P57" s="19"/>
      <c r="Q57" s="19"/>
      <c r="R57" s="19"/>
      <c r="S57" s="19"/>
      <c r="T57" s="19"/>
      <c r="U57" s="18" t="str">
        <f>IFERROR(INDEX(sample.specific_sample_term!A:M,MATCH($E57,sample.specific_sample_term!L:L,FALSE),8),"")</f>
        <v/>
      </c>
      <c r="V57" s="18" t="str">
        <f>IFERROR(INDEX(sample.specific_sample_term!A:M,MATCH($E57,sample.specific_sample_term!L:L,FALSE),9),"")</f>
        <v/>
      </c>
      <c r="W57" s="19"/>
      <c r="X57" s="19"/>
      <c r="Y57" s="19"/>
      <c r="Z57" s="19"/>
      <c r="AA57" s="19"/>
      <c r="AB57" s="19"/>
      <c r="AC57" s="19"/>
    </row>
    <row r="58" spans="1:29">
      <c r="A58" s="53"/>
      <c r="B58" s="48"/>
      <c r="C58" s="3" t="s">
        <v>44</v>
      </c>
      <c r="D58" s="18" t="str">
        <f>IFERROR(INDEX(sample.specific_sample_term!A:M,MATCH($E58,sample.specific_sample_term!L:L,FALSE),3),"")</f>
        <v/>
      </c>
      <c r="E58" s="14"/>
      <c r="F58" s="18" t="str">
        <f>IFERROR(INDEX(sample.specific_sample_term!A:M,MATCH($E58,sample.specific_sample_term!L:L,FALSE),12),"")</f>
        <v/>
      </c>
      <c r="G58" s="18" t="str">
        <f>IFERROR(INDEX(sample.specific_sample_term!A:M,MATCH($E58,sample.specific_sample_term!L:L,FALSE),13),"")</f>
        <v/>
      </c>
      <c r="H58" s="12"/>
      <c r="I58" s="12"/>
      <c r="J58" s="19"/>
      <c r="K58" s="17"/>
      <c r="L58" s="19"/>
      <c r="M58" s="19"/>
      <c r="N58" s="19"/>
      <c r="O58" s="19"/>
      <c r="P58" s="19"/>
      <c r="Q58" s="19"/>
      <c r="R58" s="19"/>
      <c r="S58" s="19"/>
      <c r="T58" s="19"/>
      <c r="U58" s="18" t="str">
        <f>IFERROR(INDEX(sample.specific_sample_term!A:M,MATCH($E58,sample.specific_sample_term!L:L,FALSE),8),"")</f>
        <v/>
      </c>
      <c r="V58" s="18" t="str">
        <f>IFERROR(INDEX(sample.specific_sample_term!A:M,MATCH($E58,sample.specific_sample_term!L:L,FALSE),9),"")</f>
        <v/>
      </c>
      <c r="W58" s="19"/>
      <c r="X58" s="19"/>
      <c r="Y58" s="19"/>
      <c r="Z58" s="19"/>
      <c r="AA58" s="19"/>
      <c r="AB58" s="19"/>
      <c r="AC58" s="19"/>
    </row>
    <row r="59" spans="1:29">
      <c r="A59" s="54"/>
      <c r="B59" s="48"/>
      <c r="C59" s="3" t="s">
        <v>44</v>
      </c>
      <c r="D59" s="18" t="str">
        <f>IFERROR(INDEX(sample.specific_sample_term!A:M,MATCH($E59,sample.specific_sample_term!L:L,FALSE),3),"")</f>
        <v/>
      </c>
      <c r="E59" s="14"/>
      <c r="F59" s="18" t="str">
        <f>IFERROR(INDEX(sample.specific_sample_term!A:M,MATCH($E59,sample.specific_sample_term!L:L,FALSE),12),"")</f>
        <v/>
      </c>
      <c r="G59" s="18" t="str">
        <f>IFERROR(INDEX(sample.specific_sample_term!A:M,MATCH($E59,sample.specific_sample_term!L:L,FALSE),13),"")</f>
        <v/>
      </c>
      <c r="H59" s="12"/>
      <c r="I59" s="12"/>
      <c r="J59" s="19"/>
      <c r="K59" s="17"/>
      <c r="L59" s="19"/>
      <c r="M59" s="19"/>
      <c r="N59" s="19"/>
      <c r="O59" s="19"/>
      <c r="P59" s="19"/>
      <c r="Q59" s="19"/>
      <c r="R59" s="19"/>
      <c r="S59" s="19"/>
      <c r="T59" s="19"/>
      <c r="U59" s="18" t="str">
        <f>IFERROR(INDEX(sample.specific_sample_term!A:M,MATCH($E59,sample.specific_sample_term!L:L,FALSE),8),"")</f>
        <v/>
      </c>
      <c r="V59" s="18" t="str">
        <f>IFERROR(INDEX(sample.specific_sample_term!A:M,MATCH($E59,sample.specific_sample_term!L:L,FALSE),9),"")</f>
        <v/>
      </c>
      <c r="W59" s="19"/>
      <c r="X59" s="19"/>
      <c r="Y59" s="19"/>
      <c r="Z59" s="19"/>
      <c r="AA59" s="19"/>
      <c r="AB59" s="19"/>
      <c r="AC59" s="19"/>
    </row>
  </sheetData>
  <mergeCells count="11">
    <mergeCell ref="B51:B59"/>
    <mergeCell ref="B7:B34"/>
    <mergeCell ref="A35:A41"/>
    <mergeCell ref="A42:A50"/>
    <mergeCell ref="A51:A59"/>
    <mergeCell ref="B1:E1"/>
    <mergeCell ref="B3:E3"/>
    <mergeCell ref="A7:A34"/>
    <mergeCell ref="B42:B50"/>
    <mergeCell ref="B35:B41"/>
    <mergeCell ref="B2:E2"/>
  </mergeCells>
  <phoneticPr fontId="2"/>
  <conditionalFormatting sqref="B1:E1">
    <cfRule type="expression" dxfId="21" priority="1" stopIfTrue="1">
      <formula>ISBLANK(B1)</formula>
    </cfRule>
  </conditionalFormatting>
  <conditionalFormatting sqref="C7:C59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35:D41">
    <cfRule type="expression" dxfId="18" priority="3">
      <formula>AND($C35="ON",ISBLANK(D35))</formula>
    </cfRule>
  </conditionalFormatting>
  <conditionalFormatting sqref="E42:E59 M7:M34 F7:G41">
    <cfRule type="expression" dxfId="17" priority="17">
      <formula>AND($C7="ON",ISBLANK(E7))</formula>
    </cfRule>
  </conditionalFormatting>
  <conditionalFormatting sqref="N7:O34">
    <cfRule type="cellIs" dxfId="16" priority="16" operator="equal">
      <formula>"ON"</formula>
    </cfRule>
  </conditionalFormatting>
  <conditionalFormatting sqref="Q7:Q34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34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34" xr:uid="{2D4AA448-C361-40D4-AD5E-FB8A11DF009A}">
      <formula1>"　,TRUE"</formula1>
    </dataValidation>
    <dataValidation type="list" allowBlank="1" showInputMessage="1" showErrorMessage="1" sqref="M7:M34" xr:uid="{5FE6F0C0-307E-46F0-BDAA-579DADBA61A0}">
      <formula1>"string,textarea,number,integer,list,date,markdown,time,boolean,uri,uuid"</formula1>
    </dataValidation>
    <dataValidation type="list" allowBlank="1" showInputMessage="1" showErrorMessage="1" sqref="C7:C59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E42:E50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E51:E59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https://rde.nims.go.jp/rde/dataset-templates/RDEDatasetTemplateSheet_RDE_VSM_TAMAKAWA/catalog.schema.json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標準データセットテンプレートRDE_VSM_TAMAKAWA用RDEデータセットテンプレート: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RDEDatasetTemplateSheet_RDE_VSM_TAMAKAWA:データカタログ定義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RDEDatasetTemplateSheet_RDE_VSM_TAMAKAWA:data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2026-01-05T05:59:17Z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