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VSM/templates/mpms/"/>
    </mc:Choice>
  </mc:AlternateContent>
  <xr:revisionPtr revIDLastSave="0" documentId="13_ncr:1_{6E87745A-BBFF-FD4E-9EA3-B3E2AA2E9E8D}" xr6:coauthVersionLast="47" xr6:coauthVersionMax="47" xr10:uidLastSave="{00000000-0000-0000-0000-000000000000}"/>
  <bookViews>
    <workbookView xWindow="43480" yWindow="50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8" l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O25" i="8"/>
  <c r="O24" i="8"/>
  <c r="O23" i="8"/>
  <c r="O22" i="8"/>
  <c r="O21" i="8"/>
  <c r="O20" i="8"/>
  <c r="O19" i="8"/>
  <c r="O18" i="8"/>
  <c r="O17" i="8"/>
  <c r="O16" i="8"/>
  <c r="O15" i="8"/>
  <c r="O14" i="8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O27" i="8"/>
  <c r="O26" i="8"/>
  <c r="O13" i="8"/>
  <c r="O12" i="8"/>
  <c r="O11" i="8"/>
  <c r="O10" i="8"/>
  <c r="O9" i="8"/>
  <c r="O8" i="8"/>
  <c r="K5" i="6"/>
  <c r="L5" i="6"/>
  <c r="K6" i="6"/>
  <c r="L6" i="6"/>
  <c r="K7" i="6"/>
  <c r="L7" i="6"/>
  <c r="K8" i="6"/>
  <c r="L8" i="6"/>
  <c r="K9" i="6"/>
  <c r="L9" i="6"/>
  <c r="K10" i="6"/>
  <c r="L10" i="6"/>
  <c r="N28" i="8"/>
  <c r="O28" i="8"/>
  <c r="P28" i="8"/>
  <c r="K4" i="6"/>
  <c r="K46" i="6"/>
  <c r="K3" i="6"/>
  <c r="B3" i="7"/>
  <c r="B3" i="8"/>
  <c r="B5" i="7"/>
  <c r="B4" i="7"/>
  <c r="B2" i="7"/>
  <c r="B2" i="8"/>
  <c r="C2" i="10"/>
  <c r="V44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36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46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40" i="8" l="1"/>
  <c r="F38" i="8"/>
  <c r="G37" i="8"/>
  <c r="U44" i="8"/>
  <c r="V43" i="8"/>
  <c r="D39" i="8"/>
  <c r="F37" i="8"/>
  <c r="U43" i="8"/>
  <c r="V42" i="8"/>
  <c r="D38" i="8"/>
  <c r="G36" i="8"/>
  <c r="U42" i="8"/>
  <c r="V41" i="8"/>
  <c r="D37" i="8"/>
  <c r="F36" i="8"/>
  <c r="G44" i="8"/>
  <c r="U41" i="8"/>
  <c r="V40" i="8"/>
  <c r="L2" i="12"/>
  <c r="F44" i="8"/>
  <c r="G43" i="8"/>
  <c r="U40" i="8"/>
  <c r="V39" i="8"/>
  <c r="L36" i="12"/>
  <c r="D36" i="8"/>
  <c r="F43" i="8"/>
  <c r="G42" i="8"/>
  <c r="U39" i="8"/>
  <c r="V38" i="8"/>
  <c r="D44" i="8"/>
  <c r="F42" i="8"/>
  <c r="G41" i="8"/>
  <c r="U38" i="8"/>
  <c r="V37" i="8"/>
  <c r="D43" i="8"/>
  <c r="F41" i="8"/>
  <c r="G40" i="8"/>
  <c r="U37" i="8"/>
  <c r="D42" i="8"/>
  <c r="F40" i="8"/>
  <c r="G39" i="8"/>
  <c r="D41" i="8"/>
  <c r="F39" i="8"/>
  <c r="G38" i="8"/>
  <c r="U36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51" i="8" l="1"/>
  <c r="U52" i="8"/>
  <c r="F46" i="8"/>
  <c r="D49" i="8"/>
  <c r="V52" i="8"/>
  <c r="U53" i="8"/>
  <c r="G46" i="8"/>
  <c r="F47" i="8"/>
  <c r="D50" i="8"/>
  <c r="V53" i="8"/>
  <c r="U45" i="8"/>
  <c r="G47" i="8"/>
  <c r="F48" i="8"/>
  <c r="D51" i="8"/>
  <c r="V45" i="8"/>
  <c r="G48" i="8"/>
  <c r="F49" i="8"/>
  <c r="D52" i="8"/>
  <c r="U46" i="8"/>
  <c r="G49" i="8"/>
  <c r="F50" i="8"/>
  <c r="D53" i="8"/>
  <c r="V46" i="8"/>
  <c r="U47" i="8"/>
  <c r="G50" i="8"/>
  <c r="F51" i="8"/>
  <c r="D45" i="8"/>
  <c r="V47" i="8"/>
  <c r="U48" i="8"/>
  <c r="G51" i="8"/>
  <c r="F52" i="8"/>
  <c r="V48" i="8"/>
  <c r="U49" i="8"/>
  <c r="G52" i="8"/>
  <c r="F53" i="8"/>
  <c r="D46" i="8"/>
  <c r="V49" i="8"/>
  <c r="U50" i="8"/>
  <c r="G53" i="8"/>
  <c r="F45" i="8"/>
  <c r="D47" i="8"/>
  <c r="V50" i="8"/>
  <c r="U51" i="8"/>
  <c r="G45" i="8"/>
  <c r="D48" i="8"/>
</calcChain>
</file>

<file path=xl/sharedStrings.xml><?xml version="1.0" encoding="utf-8"?>
<sst xmlns="http://schemas.openxmlformats.org/spreadsheetml/2006/main" count="2821" uniqueCount="1668">
  <si>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</si>
  <si>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</si>
  <si>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</si>
  <si>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</si>
  <si>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</si>
  <si>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</si>
  <si>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</si>
  <si>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</si>
  <si>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</si>
  <si>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</si>
  <si>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</si>
  <si>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</si>
  <si>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</si>
  <si>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</si>
  <si>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</si>
  <si>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</si>
  <si>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</si>
  <si>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</si>
  <si>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</si>
  <si>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</si>
  <si>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</si>
  <si>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</si>
  <si>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</si>
  <si>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</si>
  <si>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</si>
  <si>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</si>
  <si>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</si>
  <si>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</si>
  <si>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</si>
  <si>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</si>
  <si>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</si>
  <si>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</si>
  <si>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</si>
  <si>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</si>
  <si>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</si>
  <si>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</si>
  <si>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</si>
  <si>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</si>
  <si>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</si>
  <si>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</si>
  <si>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</si>
  <si>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</si>
  <si>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</si>
  <si>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</si>
  <si>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</si>
  <si>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</si>
  <si>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</si>
  <si>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</si>
  <si>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</si>
  <si>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</si>
  <si>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</si>
  <si>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</si>
  <si>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</si>
  <si>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</si>
  <si>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</si>
  <si>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</si>
  <si>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</si>
  <si>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</si>
  <si>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</si>
  <si>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</si>
  <si>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</si>
  <si>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</si>
  <si>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</si>
  <si>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</si>
  <si>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</si>
  <si>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</si>
  <si>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</si>
  <si>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</si>
  <si>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</si>
  <si>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</si>
  <si>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</si>
  <si>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</si>
  <si>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</si>
  <si>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</si>
  <si>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</si>
  <si>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</si>
  <si>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</si>
  <si>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</si>
  <si>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</si>
  <si>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</si>
  <si>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</si>
  <si>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</si>
  <si>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</si>
  <si>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</si>
  <si>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</si>
  <si>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</si>
  <si>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</si>
  <si>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</si>
  <si>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</si>
  <si>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</si>
  <si>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</si>
  <si>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</si>
  <si>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</si>
  <si>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</si>
  <si>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</si>
  <si>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</si>
  <si>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</si>
  <si>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</si>
  <si>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</si>
  <si>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</si>
  <si>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</si>
  <si>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</si>
  <si>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</si>
  <si>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</si>
  <si>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</si>
  <si>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</si>
  <si>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</si>
  <si>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</si>
  <si>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</si>
  <si>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</si>
  <si>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</si>
  <si>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</si>
  <si>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</si>
  <si>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</si>
  <si>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</si>
  <si>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</si>
  <si>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</si>
  <si>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</si>
  <si>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</si>
  <si>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</si>
  <si>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</si>
  <si>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</si>
  <si>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</si>
  <si>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</si>
  <si>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</si>
  <si>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</si>
  <si>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</si>
  <si>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</si>
  <si>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</si>
  <si>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</si>
  <si>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</si>
  <si>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</si>
  <si>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</si>
  <si>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</si>
  <si>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</si>
  <si>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</si>
  <si>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</si>
  <si>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</si>
  <si>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</si>
  <si>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</si>
  <si>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</si>
  <si>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</si>
  <si>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</si>
  <si>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</si>
  <si>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</si>
  <si>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</si>
  <si>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</si>
  <si>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</si>
  <si>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</si>
  <si>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</si>
  <si>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</si>
  <si>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</si>
  <si>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</si>
  <si>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</si>
  <si>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</si>
  <si>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</si>
  <si>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</si>
  <si>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</si>
  <si>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</si>
  <si>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</si>
  <si>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</si>
  <si>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</si>
  <si>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</si>
  <si>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</si>
  <si>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</si>
  <si>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</si>
  <si>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</si>
  <si>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</si>
  <si>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</si>
  <si>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</si>
  <si>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</si>
  <si>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</si>
  <si>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</si>
  <si>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</si>
  <si>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</si>
  <si>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</si>
  <si>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</si>
  <si>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</si>
  <si>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</si>
  <si>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</si>
  <si>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</si>
  <si>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</si>
  <si>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</si>
  <si>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</si>
  <si>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</si>
  <si>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</si>
  <si>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</si>
  <si>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</si>
  <si>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</si>
  <si>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</si>
  <si>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</si>
  <si>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</si>
  <si>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</si>
  <si>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</si>
  <si>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</si>
  <si>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</si>
  <si>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</si>
  <si>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</si>
  <si>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</si>
  <si>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</si>
  <si>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</si>
  <si>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</si>
  <si>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</si>
  <si>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</si>
  <si>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</si>
  <si>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</si>
  <si>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</si>
  <si>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</si>
  <si>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</si>
  <si>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</si>
  <si>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</si>
  <si>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</si>
  <si>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</si>
  <si>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</si>
  <si>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</si>
  <si>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</si>
  <si>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</si>
  <si>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</si>
  <si>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</si>
  <si>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</si>
  <si>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</si>
  <si>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</si>
  <si>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</si>
  <si>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</si>
  <si>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</si>
  <si>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</si>
  <si>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</si>
  <si>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</si>
  <si>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</si>
  <si>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</si>
  <si>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</si>
  <si>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</si>
  <si>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</si>
  <si>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</si>
  <si>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</si>
  <si>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</si>
  <si>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</si>
  <si>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</si>
  <si>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</si>
  <si>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</si>
  <si>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</si>
  <si>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</si>
  <si>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</si>
  <si>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</si>
  <si>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</si>
  <si>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</si>
  <si>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</si>
  <si>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</si>
  <si>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</si>
  <si>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</si>
  <si>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</si>
  <si>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</si>
  <si>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</si>
  <si>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</si>
  <si>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</si>
  <si>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</si>
  <si>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</si>
  <si>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</si>
  <si>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</si>
  <si>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</si>
  <si>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</si>
  <si>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</si>
  <si>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</si>
  <si>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</si>
  <si>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</si>
  <si>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</si>
  <si>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</si>
  <si>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</si>
  <si>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</si>
  <si>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</si>
  <si>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</si>
  <si>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</si>
  <si>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</si>
  <si>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</si>
  <si>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</si>
  <si>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</si>
  <si>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</si>
  <si>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</si>
  <si>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</si>
  <si>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</si>
  <si>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</si>
  <si>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</si>
  <si>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</si>
  <si>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</si>
  <si>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</si>
  <si>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</si>
  <si>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</si>
  <si>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</si>
  <si>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</si>
  <si>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</si>
  <si>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</si>
  <si>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</si>
  <si>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</si>
  <si>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</si>
  <si>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</si>
  <si>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</si>
  <si>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</si>
  <si>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</si>
  <si>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</si>
  <si>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</si>
  <si>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</si>
  <si>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</si>
  <si>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</si>
  <si>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</si>
  <si>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</si>
  <si>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</si>
  <si>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</si>
  <si>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</si>
  <si>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</si>
  <si>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</si>
  <si>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</si>
  <si>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</si>
  <si>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</si>
  <si>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</si>
  <si>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</si>
  <si>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</si>
  <si>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</si>
  <si>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</si>
  <si>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</si>
  <si>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</si>
  <si>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</si>
  <si>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</si>
  <si>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</si>
  <si>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</si>
  <si>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</si>
  <si>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</si>
  <si>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</si>
  <si>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</si>
  <si>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</si>
  <si>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</si>
  <si>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</si>
  <si>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</si>
  <si>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</si>
  <si>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</si>
  <si>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</si>
  <si>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</si>
  <si>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</si>
  <si>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</si>
  <si>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</si>
  <si>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</si>
  <si>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</si>
  <si>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</si>
  <si>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</si>
  <si>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</si>
  <si>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</si>
  <si>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</si>
  <si>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</si>
  <si>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</si>
  <si>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</si>
  <si>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</si>
  <si>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</si>
  <si>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</si>
  <si>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</si>
  <si>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</si>
  <si>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</si>
  <si>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</si>
  <si>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</si>
  <si>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</si>
  <si>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</si>
  <si>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</si>
  <si>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</si>
  <si>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</si>
  <si>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</si>
  <si>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</si>
  <si>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</si>
  <si>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</si>
  <si>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</si>
  <si>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</si>
  <si>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</si>
  <si>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</si>
  <si>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</si>
  <si>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</si>
  <si>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</si>
  <si>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</si>
  <si>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</si>
  <si>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</si>
  <si>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</si>
  <si>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</si>
  <si>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</si>
  <si>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</si>
  <si>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</si>
  <si>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</si>
  <si>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</si>
  <si>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</si>
  <si>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</si>
  <si>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</si>
  <si>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</si>
  <si>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</si>
  <si>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</si>
  <si>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</si>
  <si>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</si>
  <si>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</si>
  <si>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</si>
  <si>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</si>
  <si>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</si>
  <si>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</si>
  <si>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</si>
  <si>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</si>
  <si>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</si>
  <si>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</si>
  <si>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</si>
  <si>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</si>
  <si>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</si>
  <si>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</si>
  <si>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</si>
  <si>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</si>
  <si>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</si>
  <si>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</si>
  <si>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</si>
  <si>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</si>
  <si>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</si>
  <si>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</si>
  <si>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</si>
  <si>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</si>
  <si>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</si>
  <si>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</si>
  <si>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</si>
  <si>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</si>
  <si>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</si>
  <si>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</si>
  <si>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</si>
  <si>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</si>
  <si>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</si>
  <si>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</si>
  <si>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</si>
  <si>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</si>
  <si>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</si>
  <si>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</si>
  <si>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</si>
  <si>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</si>
  <si>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</si>
  <si>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</si>
  <si>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</si>
  <si>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</si>
  <si>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</si>
  <si>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</si>
  <si>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</si>
  <si>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</si>
  <si>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</si>
  <si>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</si>
  <si>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</si>
  <si>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</si>
  <si>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</si>
  <si>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</si>
  <si>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</si>
  <si>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</si>
  <si>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</si>
  <si>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</si>
  <si>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</si>
  <si>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</si>
  <si>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</si>
  <si>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</si>
  <si>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</si>
  <si>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</si>
  <si>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</si>
  <si>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</si>
  <si>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</si>
  <si>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</si>
  <si>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</si>
  <si>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</si>
  <si>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</si>
  <si>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</si>
  <si>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</si>
  <si>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</si>
  <si>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</si>
  <si>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</si>
  <si>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</si>
  <si>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</si>
  <si>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</si>
  <si>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</si>
  <si>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</si>
  <si>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</si>
  <si>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</si>
  <si>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</si>
  <si>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</si>
  <si>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</si>
  <si>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</si>
  <si>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</si>
  <si>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</si>
  <si>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</si>
  <si>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</si>
  <si>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</si>
  <si>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</si>
  <si>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</si>
  <si>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</si>
  <si>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</si>
  <si>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</si>
  <si>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</si>
  <si>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</si>
  <si>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</si>
  <si>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</si>
  <si>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</si>
  <si>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</si>
  <si>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</si>
  <si>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</si>
  <si>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</si>
  <si>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</si>
  <si>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</si>
  <si>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</si>
  <si>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</si>
  <si>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</si>
  <si>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</si>
  <si>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</si>
  <si>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</si>
  <si>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</si>
  <si>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</si>
  <si>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</si>
  <si>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</si>
  <si>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</si>
  <si>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</si>
  <si>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</si>
  <si>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</si>
  <si>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</si>
  <si>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</si>
  <si>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</si>
  <si>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</si>
  <si>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</si>
  <si>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</si>
  <si>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</si>
  <si>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</si>
  <si>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</si>
  <si>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</si>
  <si>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</si>
  <si>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</si>
  <si>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</si>
  <si>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</si>
  <si>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</si>
  <si>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</si>
  <si>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</si>
  <si>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</si>
  <si>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</si>
  <si>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</si>
  <si>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</si>
  <si>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</si>
  <si>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</si>
  <si>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</si>
  <si>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</si>
  <si>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</si>
  <si>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</si>
  <si>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</si>
  <si>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</si>
  <si>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</si>
  <si>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</si>
  <si>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</si>
  <si>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</si>
  <si>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</si>
  <si>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</si>
  <si>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</si>
  <si>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</si>
  <si>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</si>
  <si>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</si>
  <si>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</si>
  <si>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</si>
  <si>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</si>
  <si>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</si>
  <si>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</si>
  <si>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</si>
  <si>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</si>
  <si>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</si>
  <si>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</si>
  <si>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</si>
  <si>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</si>
  <si>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</si>
  <si>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</si>
  <si>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</si>
  <si>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</si>
  <si>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</si>
  <si>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</si>
  <si>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</si>
  <si>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</si>
  <si>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</si>
  <si>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</si>
  <si>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</si>
  <si>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</si>
  <si>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</si>
  <si>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</si>
  <si>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</si>
  <si>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</si>
  <si>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</si>
  <si>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</si>
  <si>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</si>
  <si>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</si>
  <si>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</si>
  <si>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</si>
  <si>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</si>
  <si>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</si>
  <si>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</si>
  <si>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</si>
  <si>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</si>
  <si>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</si>
  <si>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</si>
  <si>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</si>
  <si>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</si>
  <si>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</si>
  <si>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</si>
  <si>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</si>
  <si>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</si>
  <si>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</si>
  <si>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</si>
  <si>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</si>
  <si>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</si>
  <si>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</si>
  <si>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</si>
  <si>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</si>
  <si>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</si>
  <si>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</si>
  <si>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</si>
  <si>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</si>
  <si>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</si>
  <si>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</si>
  <si>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</si>
  <si>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</si>
  <si>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</si>
  <si>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</si>
  <si>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</si>
  <si>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</si>
  <si>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</si>
  <si>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</si>
  <si>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</si>
  <si>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</si>
  <si>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</si>
  <si>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</si>
  <si>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</si>
  <si>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</si>
  <si>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</si>
  <si>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</si>
  <si>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</si>
  <si>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</si>
  <si>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</si>
  <si>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</si>
  <si>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</si>
  <si>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</si>
  <si>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</si>
  <si>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</si>
  <si>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</si>
  <si>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</si>
  <si>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</si>
  <si>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</si>
  <si>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</si>
  <si>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</si>
  <si>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</si>
  <si>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</si>
  <si>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</si>
  <si>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</si>
  <si>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</si>
  <si>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</si>
  <si>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</si>
  <si>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</si>
  <si>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</si>
  <si>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</si>
  <si>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</si>
  <si>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</si>
  <si>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</si>
  <si>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</si>
  <si>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</si>
  <si>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</si>
  <si>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</si>
  <si>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</si>
  <si>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</si>
  <si>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</si>
  <si>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</si>
  <si>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</si>
  <si>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</si>
  <si>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</si>
  <si>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</si>
  <si>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</si>
  <si>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</si>
  <si>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</si>
  <si>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</si>
  <si>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</si>
  <si>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</si>
  <si>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</si>
  <si>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</si>
  <si>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</si>
  <si>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</si>
  <si>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</si>
  <si>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</si>
  <si>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</si>
  <si>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</si>
  <si>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</si>
  <si>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</si>
  <si>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</si>
  <si>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</si>
  <si>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</si>
  <si>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</si>
  <si>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</si>
  <si>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</si>
  <si>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</si>
  <si>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</si>
  <si>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</si>
  <si>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</si>
  <si>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</si>
  <si>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</si>
  <si>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</si>
  <si>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</si>
  <si>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</si>
  <si>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</si>
  <si>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</si>
  <si>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</si>
  <si>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</si>
  <si>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</si>
  <si>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</si>
  <si>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</si>
  <si>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</si>
  <si>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</si>
  <si>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</si>
  <si>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</si>
  <si>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</si>
  <si>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</si>
  <si>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</si>
  <si>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</si>
  <si>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</si>
  <si>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</si>
  <si>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</si>
  <si>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</si>
  <si>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</si>
  <si>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</si>
  <si>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</si>
  <si>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</si>
  <si>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</si>
  <si>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</si>
  <si>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</si>
  <si>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</si>
  <si>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</si>
  <si>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</si>
  <si>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</si>
  <si>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</si>
  <si>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</si>
  <si>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</si>
  <si>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</si>
  <si>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</si>
  <si>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</si>
  <si>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</si>
  <si>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</si>
  <si>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</si>
  <si>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</si>
  <si>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</si>
  <si>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</si>
  <si>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</si>
  <si>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</si>
  <si>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</si>
  <si>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</si>
  <si>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</si>
  <si>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</si>
  <si>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</si>
  <si>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</si>
  <si>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</si>
  <si>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</si>
  <si>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</si>
  <si>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</si>
  <si>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</si>
  <si>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</si>
  <si>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</si>
  <si>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</si>
  <si>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</si>
  <si>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</si>
  <si>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</si>
  <si>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</si>
  <si>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</si>
  <si>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</si>
  <si>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</si>
  <si>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</si>
  <si>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</si>
  <si>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</si>
  <si>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</si>
  <si>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</si>
  <si>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</si>
  <si>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</si>
  <si>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</si>
  <si>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</si>
  <si>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</si>
  <si>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</si>
  <si>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</si>
  <si>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</si>
  <si>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</si>
  <si>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</si>
  <si>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</si>
  <si>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</si>
  <si>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</si>
  <si>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</si>
  <si>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</si>
  <si>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</si>
  <si>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</si>
  <si>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</si>
  <si>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</si>
  <si>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</si>
  <si>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</si>
  <si>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</si>
  <si>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</si>
  <si>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</si>
  <si>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</si>
  <si>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</si>
  <si>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</si>
  <si>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</si>
  <si>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</si>
  <si>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</si>
  <si>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</si>
  <si>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</si>
  <si>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</si>
  <si>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</si>
  <si>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</si>
  <si>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</si>
  <si>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</si>
  <si>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</si>
  <si>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</si>
  <si>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</si>
  <si>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</si>
  <si>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</si>
  <si>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</si>
  <si>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</si>
  <si>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</si>
  <si>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</si>
  <si>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</si>
  <si>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</si>
  <si>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</si>
  <si>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</si>
  <si>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</si>
  <si>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</si>
  <si>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</si>
  <si>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</si>
  <si>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</si>
  <si>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</si>
  <si>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</si>
  <si>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</si>
  <si>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</si>
  <si>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</si>
  <si>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</si>
  <si>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</si>
  <si>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</si>
  <si>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</si>
  <si>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</si>
  <si>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</si>
  <si>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</si>
  <si>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</si>
  <si>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</si>
  <si>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</si>
  <si>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</si>
  <si>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</si>
  <si>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</si>
  <si>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</si>
  <si>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</si>
  <si>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</si>
  <si>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</si>
  <si>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</si>
  <si>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</si>
  <si>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</si>
  <si>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</si>
  <si>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</si>
  <si>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</si>
  <si>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</si>
  <si>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</si>
  <si>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</si>
  <si>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</si>
  <si>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</si>
  <si>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</si>
  <si>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</si>
  <si>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</si>
  <si>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</si>
  <si>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</si>
  <si>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</si>
  <si>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</si>
  <si>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</si>
  <si>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</si>
  <si>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</si>
  <si>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</si>
  <si>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</si>
  <si>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</si>
  <si>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</si>
  <si>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</si>
  <si>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</si>
  <si>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</si>
  <si>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</si>
  <si>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</si>
  <si>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</si>
  <si>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</si>
  <si>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</si>
  <si>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</si>
  <si>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</si>
  <si>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</si>
  <si>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</si>
  <si>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</si>
  <si>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</si>
  <si>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</si>
  <si>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</si>
  <si>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</si>
  <si>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</si>
  <si>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</si>
  <si>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</si>
  <si>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</si>
  <si>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</si>
  <si>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</si>
  <si>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</si>
  <si>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</si>
  <si>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</si>
  <si>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</si>
  <si>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</si>
  <si>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</si>
  <si>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</si>
  <si>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</si>
  <si>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</si>
  <si>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</si>
  <si>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</si>
  <si>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</si>
  <si>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</si>
  <si>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</si>
  <si>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</si>
  <si>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</si>
  <si>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</si>
  <si>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</si>
  <si>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</si>
  <si>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</si>
  <si>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</si>
  <si>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</si>
  <si>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</si>
  <si>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</si>
  <si>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</si>
  <si>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</si>
  <si>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</si>
  <si>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</si>
  <si>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</si>
  <si>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</si>
  <si>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</si>
  <si>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</si>
  <si>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</si>
  <si>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</si>
  <si>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</si>
  <si>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</si>
  <si>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</si>
  <si>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</si>
  <si>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</si>
  <si>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</si>
  <si>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</si>
  <si>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</si>
  <si>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</si>
  <si>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</si>
  <si>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</si>
  <si>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</si>
  <si>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</si>
  <si>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</si>
  <si>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</si>
  <si>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</si>
  <si>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</si>
  <si>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</si>
  <si>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</si>
  <si>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</si>
  <si>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</si>
  <si>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</si>
  <si>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</si>
  <si>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</si>
  <si>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</si>
  <si>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</si>
  <si>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</si>
  <si>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</si>
  <si>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</si>
  <si>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</si>
  <si>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</si>
  <si>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</si>
  <si>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</si>
  <si>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</si>
  <si>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</si>
  <si>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</si>
  <si>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</si>
  <si>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</si>
  <si>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</si>
  <si>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</si>
  <si>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</si>
  <si>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</si>
  <si>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</si>
  <si>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</si>
  <si>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</si>
  <si>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</si>
  <si>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</si>
  <si>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</si>
  <si>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</si>
  <si>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</si>
  <si>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</si>
  <si>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</si>
  <si>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</si>
  <si>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</si>
  <si>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</si>
  <si>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</si>
  <si>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</si>
  <si>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</si>
  <si>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</si>
  <si>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</si>
  <si>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</si>
  <si>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</si>
  <si>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</si>
  <si>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</si>
  <si>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</si>
  <si>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</si>
  <si>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</si>
  <si>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</si>
  <si>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</si>
  <si>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</si>
  <si>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</si>
  <si>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</si>
  <si>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</si>
  <si>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</si>
  <si>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</si>
  <si>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</si>
  <si>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</si>
  <si>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</si>
  <si>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</si>
  <si>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</si>
  <si>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</si>
  <si>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</si>
  <si>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</si>
  <si>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</si>
  <si>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</si>
  <si>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</si>
  <si>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</si>
  <si>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</si>
  <si>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</si>
  <si>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</si>
  <si>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</si>
  <si>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</si>
  <si>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</si>
  <si>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</si>
  <si>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</si>
  <si>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</si>
  <si>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</si>
  <si>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</si>
  <si>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</si>
  <si>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</si>
  <si>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</si>
  <si>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</si>
  <si>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</si>
  <si>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</si>
  <si>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</si>
  <si>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</si>
  <si>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</si>
  <si>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</si>
  <si>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</si>
  <si>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</si>
  <si>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</si>
  <si>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</si>
  <si>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</si>
  <si>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</si>
  <si>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</si>
  <si>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</si>
  <si>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</si>
  <si>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</si>
  <si>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</si>
  <si>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</si>
  <si>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</si>
  <si>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</si>
  <si>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</si>
  <si>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</si>
  <si>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</si>
  <si>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</si>
  <si>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</si>
  <si>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</si>
  <si>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</si>
  <si>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</si>
  <si>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</si>
  <si>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</si>
  <si>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</si>
  <si>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</si>
  <si>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</si>
  <si>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</si>
  <si>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</si>
  <si>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</si>
  <si>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</si>
  <si>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</si>
  <si>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</si>
  <si>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</si>
  <si>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</si>
  <si>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</si>
  <si>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</si>
  <si>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</si>
  <si>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</si>
  <si>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</si>
  <si>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</si>
  <si>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</si>
  <si>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</si>
  <si>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</si>
  <si>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</si>
  <si>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</si>
  <si>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</si>
  <si>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</si>
  <si>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</si>
  <si>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</si>
  <si>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</si>
  <si>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</si>
  <si>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</si>
  <si>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</si>
  <si>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</si>
  <si>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</si>
  <si>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</si>
  <si>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</si>
  <si>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</si>
  <si>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</si>
  <si>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</si>
  <si>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</si>
  <si>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</si>
  <si>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</si>
  <si>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</si>
  <si>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</si>
  <si>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</si>
  <si>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</si>
  <si>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</si>
  <si>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</si>
  <si>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</si>
  <si>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</si>
  <si>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</si>
  <si>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</si>
  <si>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</si>
  <si>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</si>
  <si>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</si>
  <si>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</si>
  <si>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</si>
  <si>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</si>
  <si>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</si>
  <si>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</si>
  <si>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</si>
  <si>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</si>
  <si>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</si>
  <si>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</si>
  <si>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</si>
  <si>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</si>
  <si>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</si>
  <si>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</si>
  <si>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</si>
  <si>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</si>
  <si>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</si>
  <si>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</si>
  <si>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</si>
  <si>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</si>
  <si>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</si>
  <si>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</si>
  <si>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</si>
  <si>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</si>
  <si>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</si>
  <si>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</si>
  <si>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</si>
  <si>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</si>
  <si>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</si>
  <si>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</si>
  <si>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</si>
  <si>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</si>
  <si>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</si>
  <si>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</si>
  <si>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</si>
  <si>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</si>
  <si>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</si>
  <si>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</si>
  <si>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</si>
  <si>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</si>
  <si>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</si>
  <si>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</si>
  <si>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</si>
  <si>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</si>
  <si>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</si>
  <si>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</si>
  <si>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</si>
  <si>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</si>
  <si>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</si>
  <si>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</si>
  <si>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</si>
  <si>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</si>
  <si>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</si>
  <si>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</si>
  <si>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</si>
  <si>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</si>
  <si>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</si>
  <si>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</si>
  <si>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</si>
  <si>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</si>
  <si>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</si>
  <si>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</si>
  <si>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</si>
  <si>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</si>
  <si>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</si>
  <si>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</si>
  <si>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</si>
  <si>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</si>
  <si>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</si>
  <si>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</si>
  <si>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</si>
  <si>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</si>
  <si>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</si>
  <si>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</si>
  <si>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</si>
  <si>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</si>
  <si>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</si>
  <si>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</si>
  <si>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</si>
  <si>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</si>
  <si>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</si>
  <si>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</si>
  <si>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</si>
  <si>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</si>
  <si>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</si>
  <si>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</si>
  <si>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</si>
  <si>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</si>
  <si>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</si>
  <si>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</si>
  <si>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</si>
  <si>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</si>
  <si>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</si>
  <si>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</si>
  <si>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</si>
  <si>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</si>
  <si>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</si>
  <si>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</si>
  <si>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</si>
  <si>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</si>
  <si>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</si>
  <si>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</si>
  <si>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</si>
  <si>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</si>
  <si>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</si>
  <si>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</si>
  <si>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</si>
  <si>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</si>
  <si>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</si>
  <si>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</si>
  <si>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</si>
  <si>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</si>
  <si>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</si>
  <si>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</si>
  <si>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</si>
  <si>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</si>
  <si>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</si>
  <si>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</si>
  <si>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</si>
  <si>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</si>
  <si>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</si>
  <si>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</si>
  <si>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</si>
  <si>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</si>
  <si>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</si>
  <si>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</si>
  <si>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</si>
  <si>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</si>
  <si>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</si>
  <si>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</si>
  <si>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</si>
  <si>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</si>
  <si>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</si>
  <si>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</si>
  <si>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</si>
  <si>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</si>
  <si>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</si>
  <si>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</si>
  <si>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</si>
  <si>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</si>
  <si>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</si>
  <si>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</si>
  <si>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</si>
  <si>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</si>
  <si>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</si>
  <si>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</si>
  <si>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</si>
  <si>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</si>
  <si>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</si>
  <si>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</si>
  <si>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</si>
  <si>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</si>
  <si>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</si>
  <si>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</si>
  <si>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</si>
  <si>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</si>
  <si>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</si>
  <si>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</si>
  <si>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</si>
  <si>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</si>
  <si>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</si>
  <si>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</si>
  <si>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</si>
  <si>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</si>
  <si>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</si>
  <si>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</si>
  <si>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</si>
  <si>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</si>
  <si>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</si>
  <si>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</si>
  <si>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</si>
  <si>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</si>
  <si>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</si>
  <si>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</si>
  <si>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</si>
  <si>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</si>
  <si>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</si>
  <si>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</si>
  <si>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</si>
  <si>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</si>
  <si>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</si>
  <si>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</si>
  <si>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</si>
  <si>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</si>
  <si>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</si>
  <si>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</si>
  <si>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</si>
  <si>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</si>
  <si>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</si>
  <si>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</si>
  <si>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</si>
  <si>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</si>
  <si>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</si>
  <si>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</si>
  <si>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</si>
  <si>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</si>
  <si>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</si>
  <si>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</si>
  <si>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</si>
  <si>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</si>
  <si>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</si>
  <si>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</si>
  <si>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</si>
  <si>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</si>
  <si>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</si>
  <si>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</si>
  <si>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</si>
  <si>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</si>
  <si>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</si>
  <si>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</si>
  <si>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</si>
  <si>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</si>
  <si>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</si>
  <si>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</si>
  <si>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</si>
  <si>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</si>
  <si>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</si>
  <si>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</si>
  <si>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</si>
  <si>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</si>
  <si>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</si>
  <si>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</si>
  <si>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</si>
  <si>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</si>
  <si>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</si>
  <si>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</si>
  <si>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</si>
  <si>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</si>
  <si>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</si>
  <si>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</si>
  <si>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</si>
  <si>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</si>
  <si>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</si>
  <si>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</si>
  <si>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</si>
  <si>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</si>
  <si>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</si>
  <si>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</si>
  <si>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</si>
  <si>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</si>
  <si>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</si>
  <si>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</si>
  <si>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</si>
  <si>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</si>
  <si>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</si>
  <si>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</si>
  <si>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</si>
  <si>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</si>
  <si>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</si>
  <si>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</si>
  <si>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</si>
  <si>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</si>
  <si>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</si>
  <si>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</si>
  <si>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</si>
  <si>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</si>
  <si>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</si>
  <si>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</si>
  <si>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</si>
  <si>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</si>
  <si>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</si>
  <si>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</si>
  <si>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</si>
  <si>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</si>
  <si>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</si>
  <si>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</si>
  <si>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</si>
  <si>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</si>
  <si>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</si>
  <si>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</si>
  <si>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</si>
  <si>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</si>
  <si>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</si>
  <si>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</si>
  <si>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</si>
  <si>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</si>
  <si>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</si>
  <si>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</si>
  <si>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</si>
  <si>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</si>
  <si>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</si>
  <si>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</si>
  <si>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</si>
  <si>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</si>
  <si>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</si>
  <si>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</si>
  <si>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</si>
  <si>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</si>
  <si>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</si>
  <si>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</si>
  <si>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</si>
  <si>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</si>
  <si>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</si>
  <si>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</si>
  <si>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</si>
  <si>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</si>
  <si>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</si>
  <si>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</si>
  <si>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</si>
  <si>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</si>
  <si>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</si>
  <si>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</si>
  <si>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</si>
  <si>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</si>
  <si>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</si>
  <si>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</si>
  <si>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</si>
  <si>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</si>
  <si>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</si>
  <si>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</si>
  <si>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</si>
  <si>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</si>
  <si>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</si>
  <si>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</si>
  <si>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</si>
  <si>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</si>
  <si>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</si>
  <si>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</si>
  <si>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</si>
  <si>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</si>
  <si>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</si>
  <si>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</si>
  <si>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</si>
  <si>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</si>
  <si>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</si>
  <si>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</si>
  <si>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</si>
  <si>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</si>
  <si>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</si>
  <si>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</si>
  <si>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</si>
  <si>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</si>
  <si>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</si>
  <si>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</si>
  <si>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</si>
  <si>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</si>
  <si>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</si>
  <si>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</si>
  <si>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</si>
  <si>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</si>
  <si>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</si>
  <si>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</si>
  <si>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</si>
  <si>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</si>
  <si>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</si>
  <si>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</si>
  <si>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</si>
  <si>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</si>
  <si>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</si>
  <si>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</si>
  <si>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</si>
  <si>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</si>
  <si>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</si>
  <si>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</si>
  <si>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</si>
  <si>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</si>
  <si>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</si>
  <si>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</si>
  <si>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</si>
  <si>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</si>
  <si>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</si>
  <si>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RDEDatasetTemplateSheet_RDE_VSM_mpms</t>
    <phoneticPr fontId="2"/>
  </si>
  <si>
    <t>標準データセットテンプレートRDE_VSM_mpms用RDEデータセットテンプレート</t>
    <rPh sb="0" eb="2">
      <t xml:space="preserve">ヒョウジュン </t>
    </rPh>
    <phoneticPr fontId="2"/>
  </si>
  <si>
    <t>appname</t>
  </si>
  <si>
    <t>APPNAME</t>
  </si>
  <si>
    <t>byapp</t>
  </si>
  <si>
    <t>BYAPP</t>
  </si>
  <si>
    <t>coil_serial_number</t>
  </si>
  <si>
    <t>COIL_SERIAL_NUMBER</t>
  </si>
  <si>
    <t>コイルシリアル番号</t>
  </si>
  <si>
    <t>comment</t>
  </si>
  <si>
    <t>COMMENT</t>
  </si>
  <si>
    <t>コメント</t>
  </si>
  <si>
    <t>fieldgroup_dc</t>
  </si>
  <si>
    <t>FIELDGROUP_DC</t>
  </si>
  <si>
    <t>磁場グループ_DC</t>
  </si>
  <si>
    <t>fieldgroup_vsm</t>
  </si>
  <si>
    <t>FIELDGROUP_VSM</t>
  </si>
  <si>
    <t>磁場グループ_VSM</t>
  </si>
  <si>
    <t>fileopentime</t>
  </si>
  <si>
    <t>FILEOPENTIME</t>
  </si>
  <si>
    <t>ファイルを開いた時間</t>
  </si>
  <si>
    <t>moment_units</t>
  </si>
  <si>
    <t>MOMENT_UNITS</t>
  </si>
  <si>
    <t>磁化の単位</t>
  </si>
  <si>
    <t>motor_hw_version</t>
  </si>
  <si>
    <t>MOTOR_HW_VERSION</t>
  </si>
  <si>
    <t>モーターハードウエアのバージョン</t>
  </si>
  <si>
    <t>motor_module_name</t>
  </si>
  <si>
    <t>MOTOR_MODULE_NAME</t>
  </si>
  <si>
    <t>モーターモジュールの名前</t>
  </si>
  <si>
    <t>motor_serial_number</t>
  </si>
  <si>
    <t>MOTOR_SERIAL_NUMBER</t>
  </si>
  <si>
    <t>モーターのシリアル番号</t>
  </si>
  <si>
    <t>motor_software_version</t>
  </si>
  <si>
    <t>MOTOR_SOFTWARE_VERSION</t>
  </si>
  <si>
    <t>モーターソフトウエアのバージョン</t>
  </si>
  <si>
    <t>oven_hw_version</t>
  </si>
  <si>
    <t>OVEN_HW_VERSION</t>
  </si>
  <si>
    <t>オーブンハードウエアのバージョン</t>
  </si>
  <si>
    <t>oven_module_name</t>
  </si>
  <si>
    <t>OVEN_MODULE_NAME</t>
  </si>
  <si>
    <t>オーブンモジュールの名前</t>
  </si>
  <si>
    <t>oven_serial_number</t>
  </si>
  <si>
    <t>OVEN_SERIAL_NUMBER</t>
  </si>
  <si>
    <t>オーブンのシリアル番号</t>
  </si>
  <si>
    <t>oven_software_version</t>
  </si>
  <si>
    <t>OVEN_SOFTWARE_VERSION</t>
  </si>
  <si>
    <t>オーブンソフトウエアのバージョン</t>
  </si>
  <si>
    <t>sample_comment</t>
  </si>
  <si>
    <t>SAMPLE_COMMENT</t>
  </si>
  <si>
    <t>サンプルコメント</t>
  </si>
  <si>
    <t>sample_holder</t>
  </si>
  <si>
    <t>SAMPLE_HOLDER</t>
  </si>
  <si>
    <t>サンプルホルダー</t>
  </si>
  <si>
    <t>sample_holder_detail</t>
  </si>
  <si>
    <t>SAMPLE_HOLDER_DETAIL</t>
  </si>
  <si>
    <t>サンプルホルダー詳細</t>
  </si>
  <si>
    <t>sample_mass</t>
  </si>
  <si>
    <t>SAMPLE_MASS</t>
  </si>
  <si>
    <t>サンプル重量</t>
  </si>
  <si>
    <t>number</t>
  </si>
  <si>
    <t>sample_material</t>
  </si>
  <si>
    <t>SAMPLE_MATERIAL</t>
  </si>
  <si>
    <t>サンプルの材質</t>
  </si>
  <si>
    <t>sample_molecular_weight</t>
  </si>
  <si>
    <t>SAMPLE_MOLECULAR_WEIGHT</t>
  </si>
  <si>
    <t>サンプルのモル量</t>
  </si>
  <si>
    <t>sample_offset</t>
  </si>
  <si>
    <t>SAMPLE_OFFSET</t>
  </si>
  <si>
    <t>サンプルオフセット</t>
  </si>
  <si>
    <t>sample_shape</t>
  </si>
  <si>
    <t>SAMPLE_SHAPE</t>
  </si>
  <si>
    <t>サンプル形状</t>
  </si>
  <si>
    <t>sample_size</t>
  </si>
  <si>
    <t>SAMPLE_SIZE</t>
  </si>
  <si>
    <t>サンプルサイズ</t>
  </si>
  <si>
    <t>sample_volume</t>
  </si>
  <si>
    <t>SAMPLE_VOLUME</t>
  </si>
  <si>
    <t>サンプル体積</t>
  </si>
  <si>
    <t>squid_hw_version</t>
  </si>
  <si>
    <t>SQUID_HW_VERSION</t>
  </si>
  <si>
    <t>SQUIDハードウエアのバージョン</t>
  </si>
  <si>
    <t>squid_module_name</t>
  </si>
  <si>
    <t>SQUID_MODULE_NAME</t>
  </si>
  <si>
    <t>SQUIDモジュール名</t>
  </si>
  <si>
    <t>squid_serial_number</t>
  </si>
  <si>
    <t>SQUID_SERIAL_NUMBER</t>
  </si>
  <si>
    <t>SQUIDシリアル番号</t>
  </si>
  <si>
    <t>squid_software_version</t>
  </si>
  <si>
    <t>SQUID_SOFTWARE_VERSION</t>
  </si>
  <si>
    <t>SQUIDソフトウエアのバージョン</t>
  </si>
  <si>
    <t>startupaxis_x</t>
  </si>
  <si>
    <t>STARTUPAXIS_X</t>
  </si>
  <si>
    <t>測定開始時のX軸</t>
  </si>
  <si>
    <t>startupaxis_y1</t>
  </si>
  <si>
    <t>STARTUPAXIS_Y1</t>
  </si>
  <si>
    <t>測定開始時のY軸</t>
  </si>
  <si>
    <t>time</t>
  </si>
  <si>
    <t>TIME</t>
  </si>
  <si>
    <t>時間</t>
  </si>
  <si>
    <t>sample_size_height</t>
  </si>
  <si>
    <t>サンプルサイズ(縦)</t>
  </si>
  <si>
    <t>SAMPLE_SIZE(height)</t>
  </si>
  <si>
    <t>sample_size_width</t>
  </si>
  <si>
    <t>サンプルサイズ(横)</t>
  </si>
  <si>
    <t>SAMPLE_SIZE(width)</t>
  </si>
  <si>
    <t>sample_size_thickness</t>
  </si>
  <si>
    <t>サンプルサイズ(厚さ)</t>
  </si>
  <si>
    <t>SAMPLE_SIZE(thickness)</t>
  </si>
  <si>
    <t>hc</t>
  </si>
  <si>
    <t>保磁力</t>
  </si>
  <si>
    <t>Hc</t>
  </si>
  <si>
    <t>br</t>
  </si>
  <si>
    <t>残留磁化</t>
  </si>
  <si>
    <t>Br</t>
  </si>
  <si>
    <t>bs</t>
  </si>
  <si>
    <t>磁束密度</t>
  </si>
  <si>
    <t>Bs</t>
  </si>
  <si>
    <t>brt</t>
  </si>
  <si>
    <t>残留磁化x膜厚</t>
  </si>
  <si>
    <t>Brt</t>
  </si>
  <si>
    <t>bs_per_volume</t>
  </si>
  <si>
    <t>磁束密度/体積</t>
  </si>
  <si>
    <t>Bs/Volume</t>
  </si>
  <si>
    <t>mm</t>
  </si>
  <si>
    <t>nm</t>
  </si>
  <si>
    <t>T</t>
  </si>
  <si>
    <t>emu</t>
  </si>
  <si>
    <t>memu/mm^2</t>
  </si>
  <si>
    <t>emu/cm^3</t>
  </si>
  <si>
    <t>background_removal</t>
  </si>
  <si>
    <t>バックグラウンド処理の有無</t>
  </si>
  <si>
    <t>boolean</t>
  </si>
  <si>
    <t>spike_removal</t>
  </si>
  <si>
    <t>スパイクノイズ除去処理の有無</t>
  </si>
  <si>
    <t>feature_acquisition</t>
  </si>
  <si>
    <t>特徴量取得の有無</t>
  </si>
  <si>
    <t>sputtering_apparatus</t>
  </si>
  <si>
    <t>スパッタリング装置</t>
  </si>
  <si>
    <t>Sputtering Apparatus</t>
  </si>
  <si>
    <t>specimen_label</t>
  </si>
  <si>
    <t>試料名</t>
  </si>
  <si>
    <t>Specimen label</t>
  </si>
  <si>
    <t>sample_year</t>
  </si>
  <si>
    <t>試料作製年</t>
  </si>
  <si>
    <t>Sample year</t>
  </si>
  <si>
    <t>sample_month</t>
  </si>
  <si>
    <t>試料作製月</t>
  </si>
  <si>
    <t>Sample month</t>
  </si>
  <si>
    <t>common_data_type</t>
  </si>
  <si>
    <t>登録データタイプ</t>
  </si>
  <si>
    <t>Data Type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</si>
  <si>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</si>
  <si>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</si>
  <si>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</si>
  <si>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</si>
  <si>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</si>
  <si>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</si>
  <si>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</si>
  <si>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</si>
  <si>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</si>
  <si>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property_property</t>
  </si>
  <si>
    <t>特徴的性質</t>
  </si>
  <si>
    <t>Property</t>
  </si>
  <si>
    <t>property_sub_category</t>
  </si>
  <si>
    <t>サブカテゴリー</t>
  </si>
  <si>
    <t>Sub category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</si>
  <si>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</si>
  <si>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</si>
  <si>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</si>
  <si>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</si>
  <si>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</si>
  <si>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</si>
  <si>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</si>
  <si>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</si>
  <si>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</si>
  <si>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</si>
  <si>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</si>
  <si>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</si>
  <si>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measurement_energy_level_transition_structure_etc_of_interest</t>
  </si>
  <si>
    <t>対象準位_遷移_構造</t>
  </si>
  <si>
    <t>Energy Level_Transition_Structure etc. of interest</t>
  </si>
  <si>
    <t>measurement_measured_date</t>
  </si>
  <si>
    <t>分析年月日</t>
  </si>
  <si>
    <t>Measured date</t>
  </si>
  <si>
    <t>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</si>
  <si>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</si>
  <si>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</si>
  <si>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</si>
  <si>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</si>
  <si>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</si>
  <si>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</si>
  <si>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VSM</t>
  </si>
  <si>
    <t>experiments</t>
  </si>
  <si>
    <t>measurement</t>
  </si>
  <si>
    <t>磁性</t>
  </si>
  <si>
    <t>飽和磁化</t>
  </si>
  <si>
    <t>構造、微細組織、磁気特性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</si>
</sst>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9" sqref="B9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1470</v>
      </c>
      <c r="C1" s="22" t="s">
        <v>1384</v>
      </c>
    </row>
    <row r="2" spans="1:3" ht="18">
      <c r="A2" s="1" t="s">
        <v>1385</v>
      </c>
      <c r="B2" s="9" t="s">
        <v>1470</v>
      </c>
      <c r="C2" s="22" t="s">
        <v>1384</v>
      </c>
    </row>
    <row r="3" spans="1:3" ht="18">
      <c r="A3" s="1" t="s">
        <v>1386</v>
      </c>
      <c r="B3" s="9" t="s">
        <v>1470</v>
      </c>
      <c r="C3" s="22" t="s">
        <v>1387</v>
      </c>
    </row>
    <row r="4" spans="1:3">
      <c r="A4" s="1" t="s">
        <v>1388</v>
      </c>
      <c r="B4" s="22" t="s">
        <v>1471</v>
      </c>
      <c r="C4" s="22"/>
    </row>
    <row r="5" spans="1:3" ht="18">
      <c r="A5" s="21"/>
    </row>
    <row r="6" spans="1:3">
      <c r="A6" s="1" t="s">
        <v>1389</v>
      </c>
      <c r="B6" s="30">
        <v>46027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46027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47"/>
  <sheetViews>
    <sheetView zoomScale="85" zoomScaleNormal="85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L32" sqref="L32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1404</v>
      </c>
      <c r="C3" s="9" t="s">
        <v>1472</v>
      </c>
      <c r="D3" s="5"/>
      <c r="E3" s="5" t="s">
        <v>1473</v>
      </c>
      <c r="F3" s="5"/>
      <c r="G3" s="4" t="s">
        <v>1473</v>
      </c>
      <c r="H3" s="4" t="s">
        <v>1473</v>
      </c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1404</v>
      </c>
      <c r="C4" s="9" t="s">
        <v>1474</v>
      </c>
      <c r="D4" s="5"/>
      <c r="E4" s="5" t="s">
        <v>1475</v>
      </c>
      <c r="F4" s="5"/>
      <c r="G4" s="4" t="s">
        <v>1475</v>
      </c>
      <c r="H4" s="4" t="s">
        <v>1475</v>
      </c>
      <c r="I4" s="5"/>
      <c r="J4" s="6" t="s">
        <v>4</v>
      </c>
      <c r="K4" s="23" t="str">
        <f t="shared" ref="K4:K46" si="0">_xlfn.IFS(J4="integer","integer",J4="number","number",J4="array","array",J4="boolean","boolean",TRUE,"string")</f>
        <v>string</v>
      </c>
      <c r="L4" s="23" t="str">
        <f t="shared" ref="L4:L46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1404</v>
      </c>
      <c r="C5" s="9" t="s">
        <v>1476</v>
      </c>
      <c r="D5" s="5"/>
      <c r="E5" s="5" t="s">
        <v>1477</v>
      </c>
      <c r="F5" s="5"/>
      <c r="G5" s="4" t="s">
        <v>1478</v>
      </c>
      <c r="H5" s="4" t="s">
        <v>1477</v>
      </c>
      <c r="I5" s="5"/>
      <c r="J5" s="6" t="s">
        <v>4</v>
      </c>
      <c r="K5" s="23" t="str">
        <f t="shared" ref="K5:K11" si="2">_xlfn.IFS(J5="integer","integer",J5="number","number",J5="array","array",J5="boolean","boolean",TRUE,"string")</f>
        <v>string</v>
      </c>
      <c r="L5" s="23" t="str">
        <f t="shared" ref="L5:L11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1404</v>
      </c>
      <c r="C6" s="9" t="s">
        <v>1479</v>
      </c>
      <c r="D6" s="5"/>
      <c r="E6" s="5" t="s">
        <v>1480</v>
      </c>
      <c r="F6" s="5"/>
      <c r="G6" s="4" t="s">
        <v>1481</v>
      </c>
      <c r="H6" s="4" t="s">
        <v>1480</v>
      </c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1404</v>
      </c>
      <c r="C7" s="9" t="s">
        <v>1482</v>
      </c>
      <c r="D7" s="5"/>
      <c r="E7" s="5" t="s">
        <v>1483</v>
      </c>
      <c r="F7" s="5"/>
      <c r="G7" s="4" t="s">
        <v>1484</v>
      </c>
      <c r="H7" s="4" t="s">
        <v>1483</v>
      </c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1404</v>
      </c>
      <c r="C8" s="9" t="s">
        <v>1485</v>
      </c>
      <c r="D8" s="5"/>
      <c r="E8" s="5" t="s">
        <v>1486</v>
      </c>
      <c r="F8" s="5"/>
      <c r="G8" s="4" t="s">
        <v>1487</v>
      </c>
      <c r="H8" s="4" t="s">
        <v>1486</v>
      </c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1404</v>
      </c>
      <c r="C9" s="9" t="s">
        <v>1488</v>
      </c>
      <c r="D9" s="5"/>
      <c r="E9" s="5" t="s">
        <v>1489</v>
      </c>
      <c r="F9" s="5"/>
      <c r="G9" s="4" t="s">
        <v>1490</v>
      </c>
      <c r="H9" s="4" t="s">
        <v>1489</v>
      </c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1404</v>
      </c>
      <c r="C10" s="9" t="s">
        <v>1491</v>
      </c>
      <c r="D10" s="5"/>
      <c r="E10" s="5" t="s">
        <v>1492</v>
      </c>
      <c r="F10" s="5"/>
      <c r="G10" s="4" t="s">
        <v>1493</v>
      </c>
      <c r="H10" s="4" t="s">
        <v>1492</v>
      </c>
      <c r="I10" s="5"/>
      <c r="J10" s="6" t="s">
        <v>4</v>
      </c>
      <c r="K10" s="23" t="str">
        <f t="shared" si="2"/>
        <v>string</v>
      </c>
      <c r="L10" s="23" t="str">
        <f t="shared" si="3"/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1404</v>
      </c>
      <c r="C11" s="9" t="s">
        <v>1494</v>
      </c>
      <c r="D11" s="5"/>
      <c r="E11" s="5" t="s">
        <v>1495</v>
      </c>
      <c r="F11" s="5"/>
      <c r="G11" s="4" t="s">
        <v>1496</v>
      </c>
      <c r="H11" s="4" t="s">
        <v>1495</v>
      </c>
      <c r="I11" s="5"/>
      <c r="J11" s="6" t="s">
        <v>4</v>
      </c>
      <c r="K11" s="23" t="str">
        <f t="shared" si="2"/>
        <v>string</v>
      </c>
      <c r="L11" s="23" t="str">
        <f t="shared" si="3"/>
        <v/>
      </c>
      <c r="M11" s="20"/>
      <c r="N11" s="20"/>
      <c r="O11" s="20"/>
      <c r="P11" s="20"/>
      <c r="Q11" s="20"/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1404</v>
      </c>
      <c r="C12" s="9" t="s">
        <v>1497</v>
      </c>
      <c r="D12" s="5"/>
      <c r="E12" s="5" t="s">
        <v>1498</v>
      </c>
      <c r="F12" s="5"/>
      <c r="G12" s="4" t="s">
        <v>1499</v>
      </c>
      <c r="H12" s="4" t="s">
        <v>1498</v>
      </c>
      <c r="I12" s="5"/>
      <c r="J12" s="6" t="s">
        <v>4</v>
      </c>
      <c r="K12" s="23" t="str">
        <f t="shared" ref="K12:K18" si="4">_xlfn.IFS(J12="integer","integer",J12="number","number",J12="array","array",J12="boolean","boolean",TRUE,"string")</f>
        <v>string</v>
      </c>
      <c r="L12" s="23" t="str">
        <f t="shared" ref="L12:L18" si="5">_xlfn.IFS(J12="datetime","date-time",J12="duration","duration",TRUE,"")</f>
        <v/>
      </c>
      <c r="M12" s="20"/>
      <c r="N12" s="20"/>
      <c r="O12" s="20"/>
      <c r="P12" s="20"/>
      <c r="Q12" s="20"/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1404</v>
      </c>
      <c r="C13" s="9" t="s">
        <v>1500</v>
      </c>
      <c r="D13" s="5"/>
      <c r="E13" s="5" t="s">
        <v>1501</v>
      </c>
      <c r="F13" s="5"/>
      <c r="G13" s="4" t="s">
        <v>1502</v>
      </c>
      <c r="H13" s="4" t="s">
        <v>1501</v>
      </c>
      <c r="I13" s="5"/>
      <c r="J13" s="6" t="s">
        <v>4</v>
      </c>
      <c r="K13" s="23" t="str">
        <f t="shared" si="4"/>
        <v>string</v>
      </c>
      <c r="L13" s="23" t="str">
        <f t="shared" si="5"/>
        <v/>
      </c>
      <c r="M13" s="20"/>
      <c r="N13" s="20"/>
      <c r="O13" s="20"/>
      <c r="P13" s="20"/>
      <c r="Q13" s="20"/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1404</v>
      </c>
      <c r="C14" s="9" t="s">
        <v>1503</v>
      </c>
      <c r="D14" s="5"/>
      <c r="E14" s="5" t="s">
        <v>1504</v>
      </c>
      <c r="F14" s="5"/>
      <c r="G14" s="4" t="s">
        <v>1505</v>
      </c>
      <c r="H14" s="4" t="s">
        <v>1504</v>
      </c>
      <c r="I14" s="5"/>
      <c r="J14" s="6" t="s">
        <v>4</v>
      </c>
      <c r="K14" s="23" t="str">
        <f t="shared" si="4"/>
        <v>string</v>
      </c>
      <c r="L14" s="23" t="str">
        <f t="shared" si="5"/>
        <v/>
      </c>
      <c r="M14" s="20"/>
      <c r="N14" s="20"/>
      <c r="O14" s="20"/>
      <c r="P14" s="20"/>
      <c r="Q14" s="20"/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1404</v>
      </c>
      <c r="C15" s="9" t="s">
        <v>1506</v>
      </c>
      <c r="D15" s="5"/>
      <c r="E15" s="5" t="s">
        <v>1507</v>
      </c>
      <c r="F15" s="5"/>
      <c r="G15" s="4" t="s">
        <v>1508</v>
      </c>
      <c r="H15" s="4" t="s">
        <v>1507</v>
      </c>
      <c r="I15" s="5"/>
      <c r="J15" s="6" t="s">
        <v>4</v>
      </c>
      <c r="K15" s="23" t="str">
        <f t="shared" si="4"/>
        <v>string</v>
      </c>
      <c r="L15" s="23" t="str">
        <f t="shared" si="5"/>
        <v/>
      </c>
      <c r="M15" s="20"/>
      <c r="N15" s="20"/>
      <c r="O15" s="20"/>
      <c r="P15" s="20"/>
      <c r="Q15" s="20"/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1404</v>
      </c>
      <c r="C16" s="9" t="s">
        <v>1509</v>
      </c>
      <c r="D16" s="5"/>
      <c r="E16" s="5" t="s">
        <v>1510</v>
      </c>
      <c r="F16" s="5"/>
      <c r="G16" s="4" t="s">
        <v>1511</v>
      </c>
      <c r="H16" s="4" t="s">
        <v>1510</v>
      </c>
      <c r="I16" s="5"/>
      <c r="J16" s="6" t="s">
        <v>4</v>
      </c>
      <c r="K16" s="23" t="str">
        <f t="shared" si="4"/>
        <v>string</v>
      </c>
      <c r="L16" s="23" t="str">
        <f t="shared" si="5"/>
        <v/>
      </c>
      <c r="M16" s="20"/>
      <c r="N16" s="20"/>
      <c r="O16" s="20"/>
      <c r="P16" s="20"/>
      <c r="Q16" s="20"/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>
      <c r="A17" s="41"/>
      <c r="B17" s="3" t="s">
        <v>1404</v>
      </c>
      <c r="C17" s="9" t="s">
        <v>1512</v>
      </c>
      <c r="D17" s="5"/>
      <c r="E17" s="5" t="s">
        <v>1513</v>
      </c>
      <c r="F17" s="5"/>
      <c r="G17" s="4" t="s">
        <v>1514</v>
      </c>
      <c r="H17" s="4" t="s">
        <v>1513</v>
      </c>
      <c r="I17" s="5"/>
      <c r="J17" s="6" t="s">
        <v>4</v>
      </c>
      <c r="K17" s="23" t="str">
        <f t="shared" si="4"/>
        <v>string</v>
      </c>
      <c r="L17" s="23" t="str">
        <f t="shared" si="5"/>
        <v/>
      </c>
      <c r="M17" s="20"/>
      <c r="N17" s="20"/>
      <c r="O17" s="20"/>
      <c r="P17" s="20"/>
      <c r="Q17" s="20"/>
      <c r="R17" s="20"/>
      <c r="S17" s="2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>
      <c r="A18" s="41"/>
      <c r="B18" s="3" t="s">
        <v>1404</v>
      </c>
      <c r="C18" s="9" t="s">
        <v>1515</v>
      </c>
      <c r="D18" s="5"/>
      <c r="E18" s="5" t="s">
        <v>1516</v>
      </c>
      <c r="F18" s="5"/>
      <c r="G18" s="4" t="s">
        <v>1517</v>
      </c>
      <c r="H18" s="4" t="s">
        <v>1516</v>
      </c>
      <c r="I18" s="5"/>
      <c r="J18" s="6" t="s">
        <v>4</v>
      </c>
      <c r="K18" s="23" t="str">
        <f t="shared" si="4"/>
        <v>string</v>
      </c>
      <c r="L18" s="23" t="str">
        <f t="shared" si="5"/>
        <v/>
      </c>
      <c r="M18" s="20"/>
      <c r="N18" s="20"/>
      <c r="O18" s="20"/>
      <c r="P18" s="20"/>
      <c r="Q18" s="20"/>
      <c r="R18" s="20"/>
      <c r="S18" s="2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>
      <c r="A19" s="41"/>
      <c r="B19" s="3" t="s">
        <v>1404</v>
      </c>
      <c r="C19" s="9" t="s">
        <v>1518</v>
      </c>
      <c r="D19" s="5"/>
      <c r="E19" s="5" t="s">
        <v>1519</v>
      </c>
      <c r="F19" s="5"/>
      <c r="G19" s="4" t="s">
        <v>1520</v>
      </c>
      <c r="H19" s="4" t="s">
        <v>1519</v>
      </c>
      <c r="I19" s="5"/>
      <c r="J19" s="6" t="s">
        <v>4</v>
      </c>
      <c r="K19" s="23" t="str">
        <f t="shared" ref="K19:K34" si="6">_xlfn.IFS(J19="integer","integer",J19="number","number",J19="array","array",J19="boolean","boolean",TRUE,"string")</f>
        <v>string</v>
      </c>
      <c r="L19" s="23" t="str">
        <f t="shared" ref="L19:L34" si="7">_xlfn.IFS(J19="datetime","date-time",J19="duration","duration",TRUE,"")</f>
        <v/>
      </c>
      <c r="M19" s="20"/>
      <c r="N19" s="20"/>
      <c r="O19" s="20"/>
      <c r="P19" s="20"/>
      <c r="Q19" s="20"/>
      <c r="R19" s="20"/>
      <c r="S19" s="2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>
      <c r="A20" s="41"/>
      <c r="B20" s="3" t="s">
        <v>1404</v>
      </c>
      <c r="C20" s="9" t="s">
        <v>1521</v>
      </c>
      <c r="D20" s="5"/>
      <c r="E20" s="5" t="s">
        <v>1522</v>
      </c>
      <c r="F20" s="5"/>
      <c r="G20" s="4" t="s">
        <v>1523</v>
      </c>
      <c r="H20" s="4" t="s">
        <v>1522</v>
      </c>
      <c r="I20" s="5"/>
      <c r="J20" s="6" t="s">
        <v>4</v>
      </c>
      <c r="K20" s="23" t="str">
        <f t="shared" si="6"/>
        <v>string</v>
      </c>
      <c r="L20" s="23" t="str">
        <f t="shared" si="7"/>
        <v/>
      </c>
      <c r="M20" s="20"/>
      <c r="N20" s="20"/>
      <c r="O20" s="20"/>
      <c r="P20" s="20"/>
      <c r="Q20" s="20"/>
      <c r="R20" s="20"/>
      <c r="S20" s="2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>
      <c r="A21" s="41"/>
      <c r="B21" s="3" t="s">
        <v>1404</v>
      </c>
      <c r="C21" s="9" t="s">
        <v>1524</v>
      </c>
      <c r="D21" s="5"/>
      <c r="E21" s="5" t="s">
        <v>1525</v>
      </c>
      <c r="F21" s="5"/>
      <c r="G21" s="4" t="s">
        <v>1526</v>
      </c>
      <c r="H21" s="4" t="s">
        <v>1525</v>
      </c>
      <c r="I21" s="5"/>
      <c r="J21" s="6" t="s">
        <v>4</v>
      </c>
      <c r="K21" s="23" t="str">
        <f t="shared" si="6"/>
        <v>string</v>
      </c>
      <c r="L21" s="23" t="str">
        <f t="shared" si="7"/>
        <v/>
      </c>
      <c r="M21" s="20"/>
      <c r="N21" s="20"/>
      <c r="O21" s="20"/>
      <c r="P21" s="20"/>
      <c r="Q21" s="20"/>
      <c r="R21" s="20"/>
      <c r="S21" s="2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>
      <c r="A22" s="41"/>
      <c r="B22" s="3" t="s">
        <v>1404</v>
      </c>
      <c r="C22" s="9" t="s">
        <v>1527</v>
      </c>
      <c r="D22" s="5"/>
      <c r="E22" s="5" t="s">
        <v>1528</v>
      </c>
      <c r="F22" s="5"/>
      <c r="G22" s="4" t="s">
        <v>1529</v>
      </c>
      <c r="H22" s="4" t="s">
        <v>1528</v>
      </c>
      <c r="I22" s="5"/>
      <c r="J22" s="6" t="s">
        <v>1530</v>
      </c>
      <c r="K22" s="23" t="str">
        <f t="shared" si="6"/>
        <v>number</v>
      </c>
      <c r="L22" s="23" t="str">
        <f t="shared" si="7"/>
        <v/>
      </c>
      <c r="M22" s="20"/>
      <c r="N22" s="20"/>
      <c r="O22" s="20"/>
      <c r="P22" s="20"/>
      <c r="Q22" s="20"/>
      <c r="R22" s="20"/>
      <c r="S22" s="2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>
      <c r="A23" s="41"/>
      <c r="B23" s="3" t="s">
        <v>1404</v>
      </c>
      <c r="C23" s="9" t="s">
        <v>1531</v>
      </c>
      <c r="D23" s="5"/>
      <c r="E23" s="5" t="s">
        <v>1532</v>
      </c>
      <c r="F23" s="5"/>
      <c r="G23" s="4" t="s">
        <v>1533</v>
      </c>
      <c r="H23" s="4" t="s">
        <v>1532</v>
      </c>
      <c r="I23" s="5"/>
      <c r="J23" s="6" t="s">
        <v>4</v>
      </c>
      <c r="K23" s="23" t="str">
        <f t="shared" si="6"/>
        <v>string</v>
      </c>
      <c r="L23" s="23" t="str">
        <f t="shared" si="7"/>
        <v/>
      </c>
      <c r="M23" s="20"/>
      <c r="N23" s="20"/>
      <c r="O23" s="20"/>
      <c r="P23" s="20"/>
      <c r="Q23" s="20"/>
      <c r="R23" s="20"/>
      <c r="S23" s="2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>
      <c r="A24" s="41"/>
      <c r="B24" s="3" t="s">
        <v>1404</v>
      </c>
      <c r="C24" s="9" t="s">
        <v>1534</v>
      </c>
      <c r="D24" s="5"/>
      <c r="E24" s="5" t="s">
        <v>1535</v>
      </c>
      <c r="F24" s="5"/>
      <c r="G24" s="4" t="s">
        <v>1536</v>
      </c>
      <c r="H24" s="4" t="s">
        <v>1535</v>
      </c>
      <c r="I24" s="5"/>
      <c r="J24" s="6" t="s">
        <v>1530</v>
      </c>
      <c r="K24" s="23" t="str">
        <f t="shared" si="6"/>
        <v>number</v>
      </c>
      <c r="L24" s="23" t="str">
        <f t="shared" si="7"/>
        <v/>
      </c>
      <c r="M24" s="20"/>
      <c r="N24" s="20"/>
      <c r="O24" s="20"/>
      <c r="P24" s="20"/>
      <c r="Q24" s="20"/>
      <c r="R24" s="20"/>
      <c r="S24" s="2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>
      <c r="A25" s="41"/>
      <c r="B25" s="3" t="s">
        <v>1404</v>
      </c>
      <c r="C25" s="9" t="s">
        <v>1537</v>
      </c>
      <c r="D25" s="5"/>
      <c r="E25" s="5" t="s">
        <v>1538</v>
      </c>
      <c r="F25" s="5"/>
      <c r="G25" s="4" t="s">
        <v>1539</v>
      </c>
      <c r="H25" s="4" t="s">
        <v>1538</v>
      </c>
      <c r="I25" s="5"/>
      <c r="J25" s="6" t="s">
        <v>1530</v>
      </c>
      <c r="K25" s="23" t="str">
        <f t="shared" si="6"/>
        <v>number</v>
      </c>
      <c r="L25" s="23" t="str">
        <f t="shared" si="7"/>
        <v/>
      </c>
      <c r="M25" s="20" t="s">
        <v>1594</v>
      </c>
      <c r="N25" s="20"/>
      <c r="O25" s="20"/>
      <c r="P25" s="20"/>
      <c r="Q25" s="20"/>
      <c r="R25" s="20"/>
      <c r="S25" s="2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>
      <c r="A26" s="41"/>
      <c r="B26" s="3" t="s">
        <v>1404</v>
      </c>
      <c r="C26" s="9" t="s">
        <v>1540</v>
      </c>
      <c r="D26" s="5"/>
      <c r="E26" s="5" t="s">
        <v>1541</v>
      </c>
      <c r="F26" s="5"/>
      <c r="G26" s="4" t="s">
        <v>1542</v>
      </c>
      <c r="H26" s="4" t="s">
        <v>1541</v>
      </c>
      <c r="I26" s="5"/>
      <c r="J26" s="6" t="s">
        <v>4</v>
      </c>
      <c r="K26" s="23" t="str">
        <f t="shared" si="6"/>
        <v>string</v>
      </c>
      <c r="L26" s="23" t="str">
        <f t="shared" si="7"/>
        <v/>
      </c>
      <c r="M26" s="20"/>
      <c r="N26" s="20"/>
      <c r="O26" s="20"/>
      <c r="P26" s="20"/>
      <c r="Q26" s="20"/>
      <c r="R26" s="20"/>
      <c r="S26" s="2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>
      <c r="A27" s="41"/>
      <c r="B27" s="3" t="s">
        <v>1404</v>
      </c>
      <c r="C27" s="9" t="s">
        <v>1543</v>
      </c>
      <c r="D27" s="5"/>
      <c r="E27" s="5" t="s">
        <v>1544</v>
      </c>
      <c r="F27" s="5"/>
      <c r="G27" s="4" t="s">
        <v>1545</v>
      </c>
      <c r="H27" s="4" t="s">
        <v>1544</v>
      </c>
      <c r="I27" s="5"/>
      <c r="J27" s="6" t="s">
        <v>4</v>
      </c>
      <c r="K27" s="23" t="str">
        <f t="shared" si="6"/>
        <v>string</v>
      </c>
      <c r="L27" s="23" t="str">
        <f t="shared" si="7"/>
        <v/>
      </c>
      <c r="M27" s="20"/>
      <c r="N27" s="20"/>
      <c r="O27" s="20"/>
      <c r="P27" s="20"/>
      <c r="Q27" s="20"/>
      <c r="R27" s="20"/>
      <c r="S27" s="2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spans="1:30">
      <c r="A28" s="41"/>
      <c r="B28" s="3" t="s">
        <v>1404</v>
      </c>
      <c r="C28" s="9" t="s">
        <v>1546</v>
      </c>
      <c r="D28" s="5"/>
      <c r="E28" s="5" t="s">
        <v>1547</v>
      </c>
      <c r="F28" s="5"/>
      <c r="G28" s="4" t="s">
        <v>1548</v>
      </c>
      <c r="H28" s="4" t="s">
        <v>1547</v>
      </c>
      <c r="I28" s="5"/>
      <c r="J28" s="6" t="s">
        <v>1530</v>
      </c>
      <c r="K28" s="23" t="str">
        <f t="shared" si="6"/>
        <v>number</v>
      </c>
      <c r="L28" s="23" t="str">
        <f t="shared" si="7"/>
        <v/>
      </c>
      <c r="M28" s="20"/>
      <c r="N28" s="20"/>
      <c r="O28" s="20"/>
      <c r="P28" s="20"/>
      <c r="Q28" s="20"/>
      <c r="R28" s="20"/>
      <c r="S28" s="2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spans="1:30">
      <c r="A29" s="41"/>
      <c r="B29" s="3" t="s">
        <v>1404</v>
      </c>
      <c r="C29" s="9" t="s">
        <v>1549</v>
      </c>
      <c r="D29" s="5"/>
      <c r="E29" s="5" t="s">
        <v>1550</v>
      </c>
      <c r="F29" s="5"/>
      <c r="G29" s="4" t="s">
        <v>1551</v>
      </c>
      <c r="H29" s="4" t="s">
        <v>1550</v>
      </c>
      <c r="I29" s="5"/>
      <c r="J29" s="6" t="s">
        <v>4</v>
      </c>
      <c r="K29" s="23" t="str">
        <f t="shared" si="6"/>
        <v>string</v>
      </c>
      <c r="L29" s="23" t="str">
        <f t="shared" si="7"/>
        <v/>
      </c>
      <c r="M29" s="20"/>
      <c r="N29" s="20"/>
      <c r="O29" s="20"/>
      <c r="P29" s="20"/>
      <c r="Q29" s="20"/>
      <c r="R29" s="20"/>
      <c r="S29" s="2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>
      <c r="A30" s="41"/>
      <c r="B30" s="3" t="s">
        <v>1404</v>
      </c>
      <c r="C30" s="9" t="s">
        <v>1552</v>
      </c>
      <c r="D30" s="5"/>
      <c r="E30" s="5" t="s">
        <v>1553</v>
      </c>
      <c r="F30" s="5"/>
      <c r="G30" s="4" t="s">
        <v>1554</v>
      </c>
      <c r="H30" s="4" t="s">
        <v>1553</v>
      </c>
      <c r="I30" s="5"/>
      <c r="J30" s="6" t="s">
        <v>4</v>
      </c>
      <c r="K30" s="23" t="str">
        <f t="shared" si="6"/>
        <v>string</v>
      </c>
      <c r="L30" s="23" t="str">
        <f t="shared" si="7"/>
        <v/>
      </c>
      <c r="M30" s="20"/>
      <c r="N30" s="20"/>
      <c r="O30" s="20"/>
      <c r="P30" s="20"/>
      <c r="Q30" s="20"/>
      <c r="R30" s="20"/>
      <c r="S30" s="2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>
      <c r="A31" s="41"/>
      <c r="B31" s="3" t="s">
        <v>1404</v>
      </c>
      <c r="C31" s="9" t="s">
        <v>1555</v>
      </c>
      <c r="D31" s="5"/>
      <c r="E31" s="5" t="s">
        <v>1556</v>
      </c>
      <c r="F31" s="5"/>
      <c r="G31" s="4" t="s">
        <v>1557</v>
      </c>
      <c r="H31" s="4" t="s">
        <v>1556</v>
      </c>
      <c r="I31" s="5"/>
      <c r="J31" s="6" t="s">
        <v>4</v>
      </c>
      <c r="K31" s="23" t="str">
        <f t="shared" si="6"/>
        <v>string</v>
      </c>
      <c r="L31" s="23" t="str">
        <f t="shared" si="7"/>
        <v/>
      </c>
      <c r="M31" s="20"/>
      <c r="N31" s="20"/>
      <c r="O31" s="20"/>
      <c r="P31" s="20"/>
      <c r="Q31" s="20"/>
      <c r="R31" s="20"/>
      <c r="S31" s="2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>
      <c r="A32" s="41"/>
      <c r="B32" s="3" t="s">
        <v>1404</v>
      </c>
      <c r="C32" s="9" t="s">
        <v>1558</v>
      </c>
      <c r="D32" s="5"/>
      <c r="E32" s="5" t="s">
        <v>1559</v>
      </c>
      <c r="F32" s="5"/>
      <c r="G32" s="4" t="s">
        <v>1560</v>
      </c>
      <c r="H32" s="4" t="s">
        <v>1559</v>
      </c>
      <c r="I32" s="5"/>
      <c r="J32" s="6" t="s">
        <v>4</v>
      </c>
      <c r="K32" s="23" t="str">
        <f t="shared" si="6"/>
        <v>string</v>
      </c>
      <c r="L32" s="23" t="str">
        <f t="shared" si="7"/>
        <v/>
      </c>
      <c r="M32" s="20"/>
      <c r="N32" s="20"/>
      <c r="O32" s="20"/>
      <c r="P32" s="20"/>
      <c r="Q32" s="20"/>
      <c r="R32" s="20"/>
      <c r="S32" s="2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spans="1:30">
      <c r="A33" s="41"/>
      <c r="B33" s="3" t="s">
        <v>1404</v>
      </c>
      <c r="C33" s="9" t="s">
        <v>1561</v>
      </c>
      <c r="D33" s="5"/>
      <c r="E33" s="5" t="s">
        <v>1562</v>
      </c>
      <c r="F33" s="5"/>
      <c r="G33" s="4" t="s">
        <v>1563</v>
      </c>
      <c r="H33" s="4" t="s">
        <v>1562</v>
      </c>
      <c r="I33" s="5"/>
      <c r="J33" s="6" t="s">
        <v>4</v>
      </c>
      <c r="K33" s="23" t="str">
        <f t="shared" si="6"/>
        <v>string</v>
      </c>
      <c r="L33" s="23" t="str">
        <f t="shared" si="7"/>
        <v/>
      </c>
      <c r="M33" s="20"/>
      <c r="N33" s="20"/>
      <c r="O33" s="20"/>
      <c r="P33" s="20"/>
      <c r="Q33" s="20"/>
      <c r="R33" s="20"/>
      <c r="S33" s="2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>
      <c r="A34" s="41"/>
      <c r="B34" s="3" t="s">
        <v>1404</v>
      </c>
      <c r="C34" s="9" t="s">
        <v>1564</v>
      </c>
      <c r="D34" s="5"/>
      <c r="E34" s="5" t="s">
        <v>1565</v>
      </c>
      <c r="F34" s="5"/>
      <c r="G34" s="4" t="s">
        <v>1566</v>
      </c>
      <c r="H34" s="4" t="s">
        <v>1565</v>
      </c>
      <c r="I34" s="5"/>
      <c r="J34" s="6" t="s">
        <v>4</v>
      </c>
      <c r="K34" s="23" t="str">
        <f t="shared" si="6"/>
        <v>string</v>
      </c>
      <c r="L34" s="23" t="str">
        <f t="shared" si="7"/>
        <v/>
      </c>
      <c r="M34" s="20"/>
      <c r="N34" s="20"/>
      <c r="O34" s="20"/>
      <c r="P34" s="20"/>
      <c r="Q34" s="20"/>
      <c r="R34" s="20"/>
      <c r="S34" s="2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>
      <c r="A35" s="41"/>
      <c r="B35" s="3" t="s">
        <v>1404</v>
      </c>
      <c r="C35" s="9" t="s">
        <v>1567</v>
      </c>
      <c r="D35" s="5"/>
      <c r="E35" s="5" t="s">
        <v>1568</v>
      </c>
      <c r="F35" s="5"/>
      <c r="G35" s="4" t="s">
        <v>1569</v>
      </c>
      <c r="H35" s="4" t="s">
        <v>1568</v>
      </c>
      <c r="I35" s="5"/>
      <c r="J35" s="6" t="s">
        <v>4</v>
      </c>
      <c r="K35" s="23" t="str">
        <f t="shared" ref="K35:K45" si="8">_xlfn.IFS(J35="integer","integer",J35="number","number",J35="array","array",J35="boolean","boolean",TRUE,"string")</f>
        <v>string</v>
      </c>
      <c r="L35" s="23" t="str">
        <f t="shared" ref="L35:L45" si="9">_xlfn.IFS(J35="datetime","date-time",J35="duration","duration",TRUE,"")</f>
        <v/>
      </c>
      <c r="M35" s="20"/>
      <c r="N35" s="20"/>
      <c r="O35" s="20"/>
      <c r="P35" s="20"/>
      <c r="Q35" s="20"/>
      <c r="R35" s="20"/>
      <c r="S35" s="2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>
      <c r="A36" s="41"/>
      <c r="B36" s="3" t="s">
        <v>1404</v>
      </c>
      <c r="C36" s="9" t="s">
        <v>1570</v>
      </c>
      <c r="D36" s="5"/>
      <c r="E36" s="5"/>
      <c r="F36" s="5"/>
      <c r="G36" s="4" t="s">
        <v>1571</v>
      </c>
      <c r="H36" s="4" t="s">
        <v>1572</v>
      </c>
      <c r="I36" s="5"/>
      <c r="J36" s="6" t="s">
        <v>1530</v>
      </c>
      <c r="K36" s="23" t="str">
        <f t="shared" si="8"/>
        <v>number</v>
      </c>
      <c r="L36" s="23" t="str">
        <f t="shared" si="9"/>
        <v/>
      </c>
      <c r="M36" s="20" t="s">
        <v>1594</v>
      </c>
      <c r="N36" s="20"/>
      <c r="O36" s="20"/>
      <c r="P36" s="20"/>
      <c r="Q36" s="20"/>
      <c r="R36" s="20"/>
      <c r="S36" s="2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>
      <c r="A37" s="41"/>
      <c r="B37" s="3" t="s">
        <v>1404</v>
      </c>
      <c r="C37" s="9" t="s">
        <v>1573</v>
      </c>
      <c r="D37" s="5"/>
      <c r="E37" s="5"/>
      <c r="F37" s="5"/>
      <c r="G37" s="4" t="s">
        <v>1574</v>
      </c>
      <c r="H37" s="4" t="s">
        <v>1575</v>
      </c>
      <c r="I37" s="5"/>
      <c r="J37" s="6" t="s">
        <v>1530</v>
      </c>
      <c r="K37" s="23" t="str">
        <f t="shared" si="8"/>
        <v>number</v>
      </c>
      <c r="L37" s="23" t="str">
        <f t="shared" si="9"/>
        <v/>
      </c>
      <c r="M37" s="20" t="s">
        <v>1594</v>
      </c>
      <c r="N37" s="20"/>
      <c r="O37" s="20"/>
      <c r="P37" s="20"/>
      <c r="Q37" s="20"/>
      <c r="R37" s="20"/>
      <c r="S37" s="2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>
      <c r="A38" s="41"/>
      <c r="B38" s="3" t="s">
        <v>1404</v>
      </c>
      <c r="C38" s="9" t="s">
        <v>1576</v>
      </c>
      <c r="D38" s="5"/>
      <c r="E38" s="5"/>
      <c r="F38" s="5"/>
      <c r="G38" s="4" t="s">
        <v>1577</v>
      </c>
      <c r="H38" s="4" t="s">
        <v>1578</v>
      </c>
      <c r="I38" s="5"/>
      <c r="J38" s="6" t="s">
        <v>1530</v>
      </c>
      <c r="K38" s="23" t="str">
        <f t="shared" si="8"/>
        <v>number</v>
      </c>
      <c r="L38" s="23" t="str">
        <f t="shared" si="9"/>
        <v/>
      </c>
      <c r="M38" s="20" t="s">
        <v>1595</v>
      </c>
      <c r="N38" s="20"/>
      <c r="O38" s="20"/>
      <c r="P38" s="20"/>
      <c r="Q38" s="20"/>
      <c r="R38" s="20"/>
      <c r="S38" s="2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>
      <c r="A39" s="41"/>
      <c r="B39" s="3" t="s">
        <v>1404</v>
      </c>
      <c r="C39" s="9" t="s">
        <v>1579</v>
      </c>
      <c r="D39" s="5"/>
      <c r="E39" s="5"/>
      <c r="F39" s="5"/>
      <c r="G39" s="4" t="s">
        <v>1580</v>
      </c>
      <c r="H39" s="4" t="s">
        <v>1581</v>
      </c>
      <c r="I39" s="5"/>
      <c r="J39" s="6" t="s">
        <v>4</v>
      </c>
      <c r="K39" s="23" t="str">
        <f t="shared" si="8"/>
        <v>string</v>
      </c>
      <c r="L39" s="23" t="str">
        <f t="shared" si="9"/>
        <v/>
      </c>
      <c r="M39" s="20" t="s">
        <v>1596</v>
      </c>
      <c r="N39" s="20"/>
      <c r="O39" s="20"/>
      <c r="P39" s="20"/>
      <c r="Q39" s="20"/>
      <c r="R39" s="20"/>
      <c r="S39" s="2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>
      <c r="A40" s="41"/>
      <c r="B40" s="3" t="s">
        <v>1404</v>
      </c>
      <c r="C40" s="9" t="s">
        <v>1582</v>
      </c>
      <c r="D40" s="5"/>
      <c r="E40" s="5"/>
      <c r="F40" s="5"/>
      <c r="G40" s="4" t="s">
        <v>1583</v>
      </c>
      <c r="H40" s="4" t="s">
        <v>1584</v>
      </c>
      <c r="I40" s="5"/>
      <c r="J40" s="6" t="s">
        <v>4</v>
      </c>
      <c r="K40" s="23" t="str">
        <f t="shared" si="8"/>
        <v>string</v>
      </c>
      <c r="L40" s="23" t="str">
        <f t="shared" si="9"/>
        <v/>
      </c>
      <c r="M40" s="20" t="s">
        <v>1597</v>
      </c>
      <c r="N40" s="20"/>
      <c r="O40" s="20"/>
      <c r="P40" s="20"/>
      <c r="Q40" s="20"/>
      <c r="R40" s="20"/>
      <c r="S40" s="2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>
      <c r="A41" s="41"/>
      <c r="B41" s="3" t="s">
        <v>1404</v>
      </c>
      <c r="C41" s="9" t="s">
        <v>1585</v>
      </c>
      <c r="D41" s="5"/>
      <c r="E41" s="5"/>
      <c r="F41" s="5"/>
      <c r="G41" s="4" t="s">
        <v>1586</v>
      </c>
      <c r="H41" s="4" t="s">
        <v>1587</v>
      </c>
      <c r="I41" s="5"/>
      <c r="J41" s="6" t="s">
        <v>4</v>
      </c>
      <c r="K41" s="23" t="str">
        <f t="shared" si="8"/>
        <v>string</v>
      </c>
      <c r="L41" s="23" t="str">
        <f t="shared" si="9"/>
        <v/>
      </c>
      <c r="M41" s="20" t="s">
        <v>1597</v>
      </c>
      <c r="N41" s="20"/>
      <c r="O41" s="20"/>
      <c r="P41" s="20"/>
      <c r="Q41" s="20"/>
      <c r="R41" s="20"/>
      <c r="S41" s="2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>
      <c r="A42" s="41"/>
      <c r="B42" s="3" t="s">
        <v>1404</v>
      </c>
      <c r="C42" s="9" t="s">
        <v>1588</v>
      </c>
      <c r="D42" s="5"/>
      <c r="E42" s="5"/>
      <c r="F42" s="5"/>
      <c r="G42" s="4" t="s">
        <v>1589</v>
      </c>
      <c r="H42" s="4" t="s">
        <v>1590</v>
      </c>
      <c r="I42" s="5"/>
      <c r="J42" s="6" t="s">
        <v>4</v>
      </c>
      <c r="K42" s="23" t="str">
        <f t="shared" si="8"/>
        <v>string</v>
      </c>
      <c r="L42" s="23" t="str">
        <f t="shared" si="9"/>
        <v/>
      </c>
      <c r="M42" s="20" t="s">
        <v>1598</v>
      </c>
      <c r="N42" s="20"/>
      <c r="O42" s="20"/>
      <c r="P42" s="20"/>
      <c r="Q42" s="20"/>
      <c r="R42" s="20"/>
      <c r="S42" s="2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>
      <c r="A43" s="41"/>
      <c r="B43" s="3" t="s">
        <v>1404</v>
      </c>
      <c r="C43" s="9" t="s">
        <v>1591</v>
      </c>
      <c r="D43" s="5"/>
      <c r="E43" s="5"/>
      <c r="F43" s="5"/>
      <c r="G43" s="4" t="s">
        <v>1592</v>
      </c>
      <c r="H43" s="4" t="s">
        <v>1593</v>
      </c>
      <c r="I43" s="5"/>
      <c r="J43" s="6" t="s">
        <v>4</v>
      </c>
      <c r="K43" s="23" t="str">
        <f t="shared" si="8"/>
        <v>string</v>
      </c>
      <c r="L43" s="23" t="str">
        <f t="shared" si="9"/>
        <v/>
      </c>
      <c r="M43" s="20" t="s">
        <v>1599</v>
      </c>
      <c r="N43" s="20"/>
      <c r="O43" s="20"/>
      <c r="P43" s="20"/>
      <c r="Q43" s="20"/>
      <c r="R43" s="20"/>
      <c r="S43" s="2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>
      <c r="A44" s="41"/>
      <c r="B44" s="3" t="s">
        <v>44</v>
      </c>
      <c r="C44" s="9"/>
      <c r="D44" s="5"/>
      <c r="E44" s="5"/>
      <c r="F44" s="5"/>
      <c r="G44" s="4"/>
      <c r="H44" s="4"/>
      <c r="I44" s="5"/>
      <c r="J44" s="6" t="s">
        <v>4</v>
      </c>
      <c r="K44" s="23" t="str">
        <f t="shared" si="8"/>
        <v>string</v>
      </c>
      <c r="L44" s="23" t="str">
        <f t="shared" si="9"/>
        <v/>
      </c>
      <c r="M44" s="20"/>
      <c r="N44" s="20"/>
      <c r="O44" s="20"/>
      <c r="P44" s="20"/>
      <c r="Q44" s="20"/>
      <c r="R44" s="20"/>
      <c r="S44" s="2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spans="1:30">
      <c r="A45" s="41"/>
      <c r="B45" s="3" t="s">
        <v>44</v>
      </c>
      <c r="C45" s="9"/>
      <c r="D45" s="5"/>
      <c r="E45" s="5"/>
      <c r="F45" s="5"/>
      <c r="G45" s="4"/>
      <c r="H45" s="4"/>
      <c r="I45" s="5"/>
      <c r="J45" s="6" t="s">
        <v>4</v>
      </c>
      <c r="K45" s="23" t="str">
        <f t="shared" si="8"/>
        <v>string</v>
      </c>
      <c r="L45" s="23" t="str">
        <f t="shared" si="9"/>
        <v/>
      </c>
      <c r="M45" s="20"/>
      <c r="N45" s="20"/>
      <c r="O45" s="20"/>
      <c r="P45" s="20"/>
      <c r="Q45" s="20"/>
      <c r="R45" s="20"/>
      <c r="S45" s="2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0">
      <c r="A46" s="41"/>
      <c r="B46" s="3" t="s">
        <v>44</v>
      </c>
      <c r="C46" s="9"/>
      <c r="D46" s="7"/>
      <c r="E46" s="7"/>
      <c r="F46" s="7"/>
      <c r="G46" s="6"/>
      <c r="H46" s="6"/>
      <c r="I46" s="7"/>
      <c r="J46" s="6" t="s">
        <v>4</v>
      </c>
      <c r="K46" s="23" t="str">
        <f t="shared" si="0"/>
        <v>string</v>
      </c>
      <c r="L46" s="23" t="str">
        <f t="shared" si="1"/>
        <v/>
      </c>
      <c r="M46" s="7"/>
      <c r="N46" s="7"/>
      <c r="O46" s="7"/>
      <c r="P46" s="7"/>
      <c r="Q46" s="7"/>
      <c r="R46" s="7"/>
      <c r="S46" s="8"/>
    </row>
    <row r="47" spans="1:30">
      <c r="B47" s="27"/>
    </row>
  </sheetData>
  <mergeCells count="1">
    <mergeCell ref="A3:A46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46" xr:uid="{C77DE921-00C9-402E-B063-7FE813E1C579}">
      <formula1>"ON,OFF"</formula1>
    </dataValidation>
    <dataValidation type="list" allowBlank="1" showInputMessage="1" showErrorMessage="1" sqref="Q4:Q46" xr:uid="{973D0976-273D-4B1E-AD82-53B3E7F58099}">
      <formula1>"　,TRUE"</formula1>
    </dataValidation>
    <dataValidation type="list" allowBlank="1" showInputMessage="1" showErrorMessage="1" sqref="J3:J46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3"/>
  <sheetViews>
    <sheetView zoomScaleNormal="100" workbookViewId="0">
      <pane xSplit="4" ySplit="6" topLeftCell="O7" activePane="bottomRight" state="frozen"/>
      <selection pane="topRight" activeCell="E1" sqref="E1"/>
      <selection pane="bottomLeft" activeCell="A7" sqref="A7"/>
      <selection pane="bottomRight" activeCell="Q18" sqref="Q18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https://rde.nims.go.jp/rde/dataset-templates/RDEDatasetTemplateSheet_RDE_VSM_mpms/invoice.schema.json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標準データセットテンプレートRDE_VSM_mpms用RDEデータセットテンプレート: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1404</v>
      </c>
      <c r="D7" s="18" t="s">
        <v>1600</v>
      </c>
      <c r="E7" s="19"/>
      <c r="F7" s="15" t="s">
        <v>1601</v>
      </c>
      <c r="G7" s="15" t="s">
        <v>1600</v>
      </c>
      <c r="H7" s="12"/>
      <c r="I7" s="12"/>
      <c r="J7" s="12"/>
      <c r="K7" s="16"/>
      <c r="L7" s="7"/>
      <c r="M7" s="6" t="s">
        <v>1602</v>
      </c>
      <c r="N7" s="29" t="str">
        <f>_xlfn.IFS(M7="integer","integer",M7="number","number",M7="boolean","boolean",TRUE,"string")</f>
        <v>boolean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 t="b">
        <v>1</v>
      </c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1404</v>
      </c>
      <c r="D8" s="18" t="s">
        <v>1603</v>
      </c>
      <c r="E8" s="19"/>
      <c r="F8" s="15" t="s">
        <v>1604</v>
      </c>
      <c r="G8" s="15" t="s">
        <v>1603</v>
      </c>
      <c r="H8" s="12"/>
      <c r="I8" s="12"/>
      <c r="J8" s="12"/>
      <c r="K8" s="16"/>
      <c r="L8" s="7"/>
      <c r="M8" s="6" t="s">
        <v>1602</v>
      </c>
      <c r="N8" s="29" t="str">
        <f t="shared" ref="N8:N27" si="0">_xlfn.IFS(M8="integer","integer",M8="number","number",M8="boolean","boolean",TRUE,"string")</f>
        <v>boolean</v>
      </c>
      <c r="O8" s="29" t="str">
        <f t="shared" ref="O8:O27" si="1">_xlfn.IFS(M8="date","date",M8="markdown","markdown",M8="time", "time",M8="uri","uri",M8="uuid","uuid",TRUE,"")</f>
        <v/>
      </c>
      <c r="P8" s="29"/>
      <c r="Q8" s="19"/>
      <c r="R8" s="19"/>
      <c r="S8" s="12" t="b">
        <v>1</v>
      </c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1404</v>
      </c>
      <c r="D9" s="18" t="s">
        <v>1605</v>
      </c>
      <c r="E9" s="19"/>
      <c r="F9" s="15" t="s">
        <v>1606</v>
      </c>
      <c r="G9" s="15" t="s">
        <v>1605</v>
      </c>
      <c r="H9" s="12"/>
      <c r="I9" s="12"/>
      <c r="J9" s="12"/>
      <c r="K9" s="16"/>
      <c r="L9" s="7"/>
      <c r="M9" s="6" t="s">
        <v>1602</v>
      </c>
      <c r="N9" s="29" t="str">
        <f t="shared" si="0"/>
        <v>boolean</v>
      </c>
      <c r="O9" s="29" t="str">
        <f t="shared" si="1"/>
        <v/>
      </c>
      <c r="P9" s="29"/>
      <c r="Q9" s="19"/>
      <c r="R9" s="19"/>
      <c r="S9" s="12" t="b">
        <v>1</v>
      </c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1404</v>
      </c>
      <c r="D10" s="18" t="s">
        <v>1607</v>
      </c>
      <c r="E10" s="19"/>
      <c r="F10" s="15" t="s">
        <v>1608</v>
      </c>
      <c r="G10" s="15" t="s">
        <v>1609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1404</v>
      </c>
      <c r="D11" s="18" t="s">
        <v>1610</v>
      </c>
      <c r="E11" s="19"/>
      <c r="F11" s="15" t="s">
        <v>1611</v>
      </c>
      <c r="G11" s="15" t="s">
        <v>1612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1404</v>
      </c>
      <c r="D12" s="18" t="s">
        <v>1613</v>
      </c>
      <c r="E12" s="19"/>
      <c r="F12" s="15" t="s">
        <v>1614</v>
      </c>
      <c r="G12" s="15" t="s">
        <v>1615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1404</v>
      </c>
      <c r="D13" s="18" t="s">
        <v>1616</v>
      </c>
      <c r="E13" s="19"/>
      <c r="F13" s="15" t="s">
        <v>1617</v>
      </c>
      <c r="G13" s="15" t="s">
        <v>1618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1404</v>
      </c>
      <c r="D14" s="18" t="s">
        <v>1619</v>
      </c>
      <c r="E14" s="19"/>
      <c r="F14" s="15" t="s">
        <v>1620</v>
      </c>
      <c r="G14" s="15" t="s">
        <v>1621</v>
      </c>
      <c r="H14" s="12"/>
      <c r="I14" s="12"/>
      <c r="J14" s="12"/>
      <c r="K14" s="16"/>
      <c r="L14" s="7"/>
      <c r="M14" s="6" t="s">
        <v>4</v>
      </c>
      <c r="N14" s="29" t="str">
        <f t="shared" ref="N14:N19" si="2">_xlfn.IFS(M14="integer","integer",M14="number","number",M14="boolean","boolean",TRUE,"string")</f>
        <v>string</v>
      </c>
      <c r="O14" s="29" t="str">
        <f t="shared" ref="O14:O19" si="3">_xlfn.IFS(M14="date","date",M14="markdown","markdown",M14="time", "time",M14="uri","uri",M14="uuid","uuid",TRUE,"")</f>
        <v/>
      </c>
      <c r="P14" s="29"/>
      <c r="Q14" s="19"/>
      <c r="R14" s="19"/>
      <c r="S14" s="12" t="s">
        <v>1662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1404</v>
      </c>
      <c r="D15" s="18" t="s">
        <v>1622</v>
      </c>
      <c r="E15" s="19"/>
      <c r="F15" s="15" t="s">
        <v>1623</v>
      </c>
      <c r="G15" s="15" t="s">
        <v>1624</v>
      </c>
      <c r="H15" s="12"/>
      <c r="I15" s="12"/>
      <c r="J15" s="12"/>
      <c r="K15" s="16"/>
      <c r="L15" s="7"/>
      <c r="M15" s="6" t="s">
        <v>4</v>
      </c>
      <c r="N15" s="29" t="str">
        <f t="shared" si="2"/>
        <v>string</v>
      </c>
      <c r="O15" s="29" t="str">
        <f t="shared" si="3"/>
        <v/>
      </c>
      <c r="P15" s="29"/>
      <c r="Q15" s="19"/>
      <c r="R15" s="19"/>
      <c r="S15" s="12" t="s">
        <v>1663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1404</v>
      </c>
      <c r="D16" s="18" t="s">
        <v>1625</v>
      </c>
      <c r="E16" s="19"/>
      <c r="F16" s="15" t="s">
        <v>1626</v>
      </c>
      <c r="G16" s="15" t="s">
        <v>1627</v>
      </c>
      <c r="H16" s="12"/>
      <c r="I16" s="12"/>
      <c r="J16" s="12"/>
      <c r="K16" s="16"/>
      <c r="L16" s="7"/>
      <c r="M16" s="6" t="s">
        <v>4</v>
      </c>
      <c r="N16" s="29" t="str">
        <f t="shared" si="2"/>
        <v>string</v>
      </c>
      <c r="O16" s="29" t="str">
        <f t="shared" si="3"/>
        <v/>
      </c>
      <c r="P16" s="29"/>
      <c r="Q16" s="19"/>
      <c r="R16" s="19"/>
      <c r="S16" s="12" t="s">
        <v>1664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1404</v>
      </c>
      <c r="D17" s="18" t="s">
        <v>1628</v>
      </c>
      <c r="E17" s="19"/>
      <c r="F17" s="15" t="s">
        <v>1629</v>
      </c>
      <c r="G17" s="15" t="s">
        <v>1630</v>
      </c>
      <c r="H17" s="12"/>
      <c r="I17" s="12"/>
      <c r="J17" s="12"/>
      <c r="K17" s="16"/>
      <c r="L17" s="7"/>
      <c r="M17" s="6" t="s">
        <v>4</v>
      </c>
      <c r="N17" s="29" t="str">
        <f t="shared" si="2"/>
        <v>string</v>
      </c>
      <c r="O17" s="29" t="str">
        <f t="shared" si="3"/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1404</v>
      </c>
      <c r="D18" s="18" t="s">
        <v>1631</v>
      </c>
      <c r="E18" s="19"/>
      <c r="F18" s="15" t="s">
        <v>1632</v>
      </c>
      <c r="G18" s="15" t="s">
        <v>1633</v>
      </c>
      <c r="H18" s="12"/>
      <c r="I18" s="12"/>
      <c r="J18" s="12"/>
      <c r="K18" s="16"/>
      <c r="L18" s="7"/>
      <c r="M18" s="6" t="s">
        <v>4</v>
      </c>
      <c r="N18" s="29" t="str">
        <f t="shared" si="2"/>
        <v>string</v>
      </c>
      <c r="O18" s="29" t="str">
        <f t="shared" si="3"/>
        <v/>
      </c>
      <c r="P18" s="29"/>
      <c r="Q18" s="19"/>
      <c r="R18" s="19"/>
      <c r="S18" s="12" t="s">
        <v>1665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8"/>
      <c r="B19" s="48"/>
      <c r="C19" s="3" t="s">
        <v>1404</v>
      </c>
      <c r="D19" s="18" t="s">
        <v>1634</v>
      </c>
      <c r="E19" s="19"/>
      <c r="F19" s="15" t="s">
        <v>1635</v>
      </c>
      <c r="G19" s="15" t="s">
        <v>1636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1666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8"/>
      <c r="B20" s="48"/>
      <c r="C20" s="3" t="s">
        <v>1404</v>
      </c>
      <c r="D20" s="18" t="s">
        <v>1637</v>
      </c>
      <c r="E20" s="19"/>
      <c r="F20" s="15" t="s">
        <v>1638</v>
      </c>
      <c r="G20" s="15" t="s">
        <v>1639</v>
      </c>
      <c r="H20" s="12"/>
      <c r="I20" s="12"/>
      <c r="J20" s="12"/>
      <c r="K20" s="16"/>
      <c r="L20" s="7"/>
      <c r="M20" s="6" t="s">
        <v>4</v>
      </c>
      <c r="N20" s="29" t="str">
        <f t="shared" ref="N20:N25" si="4">_xlfn.IFS(M20="integer","integer",M20="number","number",M20="boolean","boolean",TRUE,"string")</f>
        <v>string</v>
      </c>
      <c r="O20" s="29" t="str">
        <f t="shared" ref="O20:O25" si="5">_xlfn.IFS(M20="date","date",M20="markdown","markdown",M20="time", "time",M20="uri","uri",M20="uuid","uuid",TRUE,"")</f>
        <v/>
      </c>
      <c r="P20" s="29"/>
      <c r="Q20" s="19"/>
      <c r="R20" s="19"/>
      <c r="S20" s="12" t="s">
        <v>399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8"/>
      <c r="B21" s="48"/>
      <c r="C21" s="3" t="s">
        <v>1404</v>
      </c>
      <c r="D21" s="18" t="s">
        <v>1640</v>
      </c>
      <c r="E21" s="19"/>
      <c r="F21" s="15" t="s">
        <v>1641</v>
      </c>
      <c r="G21" s="15" t="s">
        <v>1642</v>
      </c>
      <c r="H21" s="12"/>
      <c r="I21" s="12"/>
      <c r="J21" s="12"/>
      <c r="K21" s="16"/>
      <c r="L21" s="7"/>
      <c r="M21" s="6" t="s">
        <v>4</v>
      </c>
      <c r="N21" s="29" t="str">
        <f t="shared" si="4"/>
        <v>string</v>
      </c>
      <c r="O21" s="29" t="str">
        <f t="shared" si="5"/>
        <v/>
      </c>
      <c r="P21" s="29"/>
      <c r="Q21" s="19"/>
      <c r="R21" s="19"/>
      <c r="S21" s="12" t="s">
        <v>403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8"/>
      <c r="B22" s="48"/>
      <c r="C22" s="3" t="s">
        <v>1404</v>
      </c>
      <c r="D22" s="18" t="s">
        <v>1643</v>
      </c>
      <c r="E22" s="19"/>
      <c r="F22" s="15" t="s">
        <v>1644</v>
      </c>
      <c r="G22" s="15" t="s">
        <v>1645</v>
      </c>
      <c r="H22" s="12"/>
      <c r="I22" s="12"/>
      <c r="J22" s="12"/>
      <c r="K22" s="16"/>
      <c r="L22" s="7"/>
      <c r="M22" s="6" t="s">
        <v>4</v>
      </c>
      <c r="N22" s="29" t="str">
        <f t="shared" si="4"/>
        <v>string</v>
      </c>
      <c r="O22" s="29" t="str">
        <f t="shared" si="5"/>
        <v/>
      </c>
      <c r="P22" s="29"/>
      <c r="Q22" s="19"/>
      <c r="R22" s="19"/>
      <c r="S22" s="12" t="s">
        <v>1667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>
      <c r="A23" s="48"/>
      <c r="B23" s="48"/>
      <c r="C23" s="3" t="s">
        <v>1404</v>
      </c>
      <c r="D23" s="18" t="s">
        <v>1646</v>
      </c>
      <c r="E23" s="19"/>
      <c r="F23" s="15" t="s">
        <v>1647</v>
      </c>
      <c r="G23" s="15" t="s">
        <v>1648</v>
      </c>
      <c r="H23" s="12"/>
      <c r="I23" s="12"/>
      <c r="J23" s="12"/>
      <c r="K23" s="16"/>
      <c r="L23" s="7"/>
      <c r="M23" s="6" t="s">
        <v>4</v>
      </c>
      <c r="N23" s="29" t="str">
        <f t="shared" si="4"/>
        <v>string</v>
      </c>
      <c r="O23" s="29" t="str">
        <f t="shared" si="5"/>
        <v/>
      </c>
      <c r="P23" s="29"/>
      <c r="Q23" s="19"/>
      <c r="R23" s="19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>
      <c r="A24" s="48"/>
      <c r="B24" s="48"/>
      <c r="C24" s="3" t="s">
        <v>1404</v>
      </c>
      <c r="D24" s="18" t="s">
        <v>1649</v>
      </c>
      <c r="E24" s="19"/>
      <c r="F24" s="15" t="s">
        <v>1650</v>
      </c>
      <c r="G24" s="15" t="s">
        <v>1651</v>
      </c>
      <c r="H24" s="12"/>
      <c r="I24" s="12"/>
      <c r="J24" s="12"/>
      <c r="K24" s="16"/>
      <c r="L24" s="7"/>
      <c r="M24" s="6" t="s">
        <v>4</v>
      </c>
      <c r="N24" s="29" t="str">
        <f t="shared" si="4"/>
        <v>string</v>
      </c>
      <c r="O24" s="29" t="str">
        <f t="shared" si="5"/>
        <v/>
      </c>
      <c r="P24" s="29"/>
      <c r="Q24" s="19"/>
      <c r="R24" s="19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8"/>
      <c r="B25" s="48"/>
      <c r="C25" s="3" t="s">
        <v>1404</v>
      </c>
      <c r="D25" s="18" t="s">
        <v>1652</v>
      </c>
      <c r="E25" s="19"/>
      <c r="F25" s="15" t="s">
        <v>1653</v>
      </c>
      <c r="G25" s="15" t="s">
        <v>1654</v>
      </c>
      <c r="H25" s="12"/>
      <c r="I25" s="12"/>
      <c r="J25" s="12"/>
      <c r="K25" s="16"/>
      <c r="L25" s="7"/>
      <c r="M25" s="6" t="s">
        <v>1655</v>
      </c>
      <c r="N25" s="29" t="str">
        <f t="shared" si="4"/>
        <v>string</v>
      </c>
      <c r="O25" s="29" t="str">
        <f t="shared" si="5"/>
        <v>date</v>
      </c>
      <c r="P25" s="29"/>
      <c r="Q25" s="19"/>
      <c r="R25" s="19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>
      <c r="A26" s="48"/>
      <c r="B26" s="48"/>
      <c r="C26" s="3" t="s">
        <v>1404</v>
      </c>
      <c r="D26" s="18" t="s">
        <v>1656</v>
      </c>
      <c r="E26" s="19"/>
      <c r="F26" s="15" t="s">
        <v>1657</v>
      </c>
      <c r="G26" s="15" t="s">
        <v>1658</v>
      </c>
      <c r="H26" s="12"/>
      <c r="I26" s="12"/>
      <c r="J26" s="12"/>
      <c r="K26" s="16"/>
      <c r="L26" s="7"/>
      <c r="M26" s="6" t="s">
        <v>4</v>
      </c>
      <c r="N26" s="29" t="str">
        <f t="shared" si="0"/>
        <v>string</v>
      </c>
      <c r="O26" s="29" t="str">
        <f t="shared" si="1"/>
        <v/>
      </c>
      <c r="P26" s="29"/>
      <c r="Q26" s="19"/>
      <c r="R26" s="19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8"/>
      <c r="B27" s="48"/>
      <c r="C27" s="3" t="s">
        <v>1404</v>
      </c>
      <c r="D27" s="18" t="s">
        <v>1659</v>
      </c>
      <c r="E27" s="19"/>
      <c r="F27" s="15" t="s">
        <v>1660</v>
      </c>
      <c r="G27" s="15" t="s">
        <v>1661</v>
      </c>
      <c r="H27" s="12"/>
      <c r="I27" s="12"/>
      <c r="J27" s="12"/>
      <c r="K27" s="16"/>
      <c r="L27" s="7"/>
      <c r="M27" s="6" t="s">
        <v>4</v>
      </c>
      <c r="N27" s="29" t="str">
        <f t="shared" si="0"/>
        <v>string</v>
      </c>
      <c r="O27" s="29" t="str">
        <f t="shared" si="1"/>
        <v/>
      </c>
      <c r="P27" s="29"/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48"/>
      <c r="B28" s="48"/>
      <c r="C28" s="3" t="s">
        <v>44</v>
      </c>
      <c r="D28" s="18"/>
      <c r="E28" s="19"/>
      <c r="F28" s="15"/>
      <c r="G28" s="15"/>
      <c r="H28" s="12"/>
      <c r="I28" s="12"/>
      <c r="J28" s="12"/>
      <c r="K28" s="16"/>
      <c r="L28" s="7"/>
      <c r="M28" s="6" t="s">
        <v>4</v>
      </c>
      <c r="N28" s="29" t="str">
        <f t="shared" ref="N28" si="6">_xlfn.IFS(M28="integer","integer",M28="number","number",M28="boolean","boolean",TRUE,"string")</f>
        <v>string</v>
      </c>
      <c r="O28" s="29" t="str">
        <f t="shared" ref="O28" si="7">_xlfn.IFS(M28="date","date",M28="markdown","markdown",M28="time", "time",M28="uri","uri",M28="uuid","uuid",TRUE,"")</f>
        <v/>
      </c>
      <c r="P28" s="29" t="str">
        <f t="shared" ref="P28" si="8">_xlfn.IFS(M28="textarea","textarea",TRUE,"")</f>
        <v/>
      </c>
      <c r="Q28" s="19"/>
      <c r="R28" s="19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>
      <c r="A29" s="52" t="s">
        <v>1379</v>
      </c>
      <c r="B29" s="48" t="s">
        <v>79</v>
      </c>
      <c r="C29" s="3" t="s">
        <v>44</v>
      </c>
      <c r="D29" s="15" t="s">
        <v>34</v>
      </c>
      <c r="E29" s="19"/>
      <c r="F29" s="15" t="s">
        <v>1432</v>
      </c>
      <c r="G29" s="15" t="s">
        <v>1433</v>
      </c>
      <c r="H29" s="12"/>
      <c r="I29" s="12"/>
      <c r="J29" s="19"/>
      <c r="K29" s="1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53"/>
      <c r="B30" s="48"/>
      <c r="C30" s="3" t="s">
        <v>44</v>
      </c>
      <c r="D30" s="15" t="s">
        <v>35</v>
      </c>
      <c r="E30" s="19"/>
      <c r="F30" s="15" t="s">
        <v>1434</v>
      </c>
      <c r="G30" s="15" t="s">
        <v>1435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53"/>
      <c r="B31" s="48"/>
      <c r="C31" s="3" t="s">
        <v>44</v>
      </c>
      <c r="D31" s="15" t="s">
        <v>36</v>
      </c>
      <c r="E31" s="19"/>
      <c r="F31" s="15" t="s">
        <v>1436</v>
      </c>
      <c r="G31" s="15" t="s">
        <v>1437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>
      <c r="A32" s="53"/>
      <c r="B32" s="48"/>
      <c r="C32" s="3" t="s">
        <v>44</v>
      </c>
      <c r="D32" s="15" t="s">
        <v>37</v>
      </c>
      <c r="E32" s="19"/>
      <c r="F32" s="15" t="s">
        <v>1438</v>
      </c>
      <c r="G32" s="15" t="s">
        <v>1439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>
      <c r="A33" s="53"/>
      <c r="B33" s="48"/>
      <c r="C33" s="3" t="s">
        <v>44</v>
      </c>
      <c r="D33" s="15" t="s">
        <v>38</v>
      </c>
      <c r="E33" s="19"/>
      <c r="F33" s="15" t="s">
        <v>1440</v>
      </c>
      <c r="G33" s="15" t="s">
        <v>1441</v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>
      <c r="A34" s="53"/>
      <c r="B34" s="48"/>
      <c r="C34" s="3" t="s">
        <v>44</v>
      </c>
      <c r="D34" s="15" t="s">
        <v>39</v>
      </c>
      <c r="E34" s="19"/>
      <c r="F34" s="15" t="s">
        <v>1442</v>
      </c>
      <c r="G34" s="15" t="s">
        <v>1443</v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>
      <c r="A35" s="54"/>
      <c r="B35" s="48"/>
      <c r="C35" s="3" t="s">
        <v>44</v>
      </c>
      <c r="D35" s="15" t="s">
        <v>16</v>
      </c>
      <c r="E35" s="19"/>
      <c r="F35" s="15" t="s">
        <v>1444</v>
      </c>
      <c r="G35" s="15" t="s">
        <v>1445</v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>
      <c r="A36" s="52" t="s">
        <v>1380</v>
      </c>
      <c r="B36" s="48" t="s">
        <v>40</v>
      </c>
      <c r="C36" s="3" t="s">
        <v>44</v>
      </c>
      <c r="D36" s="18" t="str">
        <f>IFERROR(INDEX(sample.general_sample_term!A:H,MATCH($E36,sample.general_sample_term!C:C,FALSE),2),"")</f>
        <v>sample.general.general-name</v>
      </c>
      <c r="E36" s="14" t="s">
        <v>1274</v>
      </c>
      <c r="F36" s="18" t="str">
        <f>IFERROR(INDEX(sample.general_sample_term!A:H,MATCH($E36,sample.general_sample_term!C:C,FALSE),3),"")</f>
        <v>一般名称</v>
      </c>
      <c r="G36" s="18" t="str">
        <f>IFERROR(INDEX(sample.general_sample_term!A:H,MATCH($E36,sample.general_sample_term!C:C,FALSE),4),"")</f>
        <v>General name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IFERROR(INDEX(sample.general_sample_term!A:H,MATCH($E36,sample.general_sample_term!C:C,FALSE),5),"")</f>
        <v>一般名称を入力してください</v>
      </c>
      <c r="V36" s="18" t="str">
        <f>IFERROR(INDEX(sample.general_sample_term!A:H,MATCH($E36,sample.general_sample_term!C:C,FALSE),6),"")</f>
        <v>Please enter General name</v>
      </c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44</v>
      </c>
      <c r="D37" s="18" t="str">
        <f>IFERROR(INDEX(sample.general_sample_term!A:H,MATCH($E37,sample.general_sample_term!C:C,FALSE),2),"")</f>
        <v>sample.general.cas-number</v>
      </c>
      <c r="E37" s="14" t="s">
        <v>1160</v>
      </c>
      <c r="F37" s="18" t="str">
        <f>IFERROR(INDEX(sample.general_sample_term!A:H,MATCH($E37,sample.general_sample_term!C:C,FALSE),3),"")</f>
        <v>CAS番号</v>
      </c>
      <c r="G37" s="18" t="str">
        <f>IFERROR(INDEX(sample.general_sample_term!A:H,MATCH($E37,sample.general_sample_term!C:C,FALSE),4),"")</f>
        <v>CAS Number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IFERROR(INDEX(sample.general_sample_term!A:H,MATCH($E37,sample.general_sample_term!C:C,FALSE),5),"")</f>
        <v>CAS番号を入力してください</v>
      </c>
      <c r="V37" s="18" t="str">
        <f>IFERROR(INDEX(sample.general_sample_term!A:H,MATCH($E37,sample.general_sample_term!C:C,FALSE),6),"")</f>
        <v>Please enter CAS Number</v>
      </c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44</v>
      </c>
      <c r="D38" s="18" t="str">
        <f>IFERROR(INDEX(sample.general_sample_term!A:H,MATCH($E38,sample.general_sample_term!C:C,FALSE),2),"")</f>
        <v>sample.general.crystal-structure</v>
      </c>
      <c r="E38" s="14" t="s">
        <v>1175</v>
      </c>
      <c r="F38" s="18" t="str">
        <f>IFERROR(INDEX(sample.general_sample_term!A:H,MATCH($E38,sample.general_sample_term!C:C,FALSE),3),"")</f>
        <v>結晶構造</v>
      </c>
      <c r="G38" s="18" t="str">
        <f>IFERROR(INDEX(sample.general_sample_term!A:H,MATCH($E38,sample.general_sample_term!C:C,FALSE),4),"")</f>
        <v>Crystal structure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IFERROR(INDEX(sample.general_sample_term!A:H,MATCH($E38,sample.general_sample_term!C:C,FALSE),5),"")</f>
        <v>結晶構造を入力してください</v>
      </c>
      <c r="V38" s="18" t="str">
        <f>IFERROR(INDEX(sample.general_sample_term!A:H,MATCH($E38,sample.general_sample_term!C:C,FALSE),6),"")</f>
        <v>Please enter Crystal structure</v>
      </c>
      <c r="W38" s="19"/>
      <c r="X38" s="19"/>
      <c r="Y38" s="19"/>
      <c r="Z38" s="19"/>
      <c r="AA38" s="19"/>
      <c r="AB38" s="19"/>
      <c r="AC38" s="19"/>
    </row>
    <row r="39" spans="1:29">
      <c r="A39" s="53"/>
      <c r="B39" s="48"/>
      <c r="C39" s="3" t="s">
        <v>44</v>
      </c>
      <c r="D39" s="18" t="str">
        <f>IFERROR(INDEX(sample.general_sample_term!A:H,MATCH($E39,sample.general_sample_term!C:C,FALSE),2),"")</f>
        <v>sample.general.sample-shape</v>
      </c>
      <c r="E39" s="14" t="s">
        <v>1191</v>
      </c>
      <c r="F39" s="18" t="str">
        <f>IFERROR(INDEX(sample.general_sample_term!A:H,MATCH($E39,sample.general_sample_term!C:C,FALSE),3),"")</f>
        <v>試料形状</v>
      </c>
      <c r="G39" s="18" t="str">
        <f>IFERROR(INDEX(sample.general_sample_term!A:H,MATCH($E39,sample.general_sample_term!C:C,FALSE),4),"")</f>
        <v>Sample shape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IFERROR(INDEX(sample.general_sample_term!A:H,MATCH($E39,sample.general_sample_term!C:C,FALSE),5),"")</f>
        <v>試料形状を入力してください</v>
      </c>
      <c r="V39" s="18" t="str">
        <f>IFERROR(INDEX(sample.general_sample_term!A:H,MATCH($E39,sample.general_sample_term!C:C,FALSE),6),"")</f>
        <v>Please enter Sample shape</v>
      </c>
      <c r="W39" s="19"/>
      <c r="X39" s="19"/>
      <c r="Y39" s="19"/>
      <c r="Z39" s="19"/>
      <c r="AA39" s="19"/>
      <c r="AB39" s="19"/>
      <c r="AC39" s="19"/>
    </row>
    <row r="40" spans="1:29">
      <c r="A40" s="53"/>
      <c r="B40" s="48"/>
      <c r="C40" s="3" t="s">
        <v>44</v>
      </c>
      <c r="D40" s="18" t="str">
        <f>IFERROR(INDEX(sample.general_sample_term!A:H,MATCH($E40,sample.general_sample_term!C:C,FALSE),2),"")</f>
        <v>sample.general.purchase-date</v>
      </c>
      <c r="E40" s="14" t="s">
        <v>1165</v>
      </c>
      <c r="F40" s="18" t="str">
        <f>IFERROR(INDEX(sample.general_sample_term!A:H,MATCH($E40,sample.general_sample_term!C:C,FALSE),3),"")</f>
        <v>試料購入日</v>
      </c>
      <c r="G40" s="18" t="str">
        <f>IFERROR(INDEX(sample.general_sample_term!A:H,MATCH($E40,sample.general_sample_term!C:C,FALSE),4),"")</f>
        <v>Purchase date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IFERROR(INDEX(sample.general_sample_term!A:H,MATCH($E40,sample.general_sample_term!C:C,FALSE),5),"")</f>
        <v>試料購入日を入力してください</v>
      </c>
      <c r="V40" s="18" t="str">
        <f>IFERROR(INDEX(sample.general_sample_term!A:H,MATCH($E40,sample.general_sample_term!C:C,FALSE),6),"")</f>
        <v>Please enter Purchase date</v>
      </c>
      <c r="W40" s="19"/>
      <c r="X40" s="19"/>
      <c r="Y40" s="19"/>
      <c r="Z40" s="19"/>
      <c r="AA40" s="19"/>
      <c r="AB40" s="19"/>
      <c r="AC40" s="19"/>
    </row>
    <row r="41" spans="1:29">
      <c r="A41" s="53"/>
      <c r="B41" s="48"/>
      <c r="C41" s="3" t="s">
        <v>44</v>
      </c>
      <c r="D41" s="18" t="str">
        <f>IFERROR(INDEX(sample.general_sample_term!A:H,MATCH($E41,sample.general_sample_term!C:C,FALSE),2),"")</f>
        <v>sample.general.supplier</v>
      </c>
      <c r="E41" s="14" t="s">
        <v>834</v>
      </c>
      <c r="F41" s="18" t="str">
        <f>IFERROR(INDEX(sample.general_sample_term!A:H,MATCH($E41,sample.general_sample_term!C:C,FALSE),3),"")</f>
        <v>購入元</v>
      </c>
      <c r="G41" s="18" t="str">
        <f>IFERROR(INDEX(sample.general_sample_term!A:H,MATCH($E41,sample.general_sample_term!C:C,FALSE),4),"")</f>
        <v>Supplier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IFERROR(INDEX(sample.general_sample_term!A:H,MATCH($E41,sample.general_sample_term!C:C,FALSE),5),"")</f>
        <v/>
      </c>
      <c r="V41" s="18" t="str">
        <f>IFERROR(INDEX(sample.general_sample_term!A:H,MATCH($E41,sample.general_sample_term!C:C,FALSE),6),"")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53"/>
      <c r="B42" s="48"/>
      <c r="C42" s="3" t="s">
        <v>44</v>
      </c>
      <c r="D42" s="18" t="str">
        <f>IFERROR(INDEX(sample.general_sample_term!A:H,MATCH($E42,sample.general_sample_term!C:C,FALSE),2),"")</f>
        <v>sample.general.lot-number-or-product-number-etc</v>
      </c>
      <c r="E42" s="14" t="s">
        <v>1156</v>
      </c>
      <c r="F42" s="18" t="str">
        <f>IFERROR(INDEX(sample.general_sample_term!A:H,MATCH($E42,sample.general_sample_term!C:C,FALSE),3),"")</f>
        <v>ロット番号、製造番号など</v>
      </c>
      <c r="G42" s="18" t="str">
        <f>IFERROR(INDEX(sample.general_sample_term!A:H,MATCH($E42,sample.general_sample_term!C:C,FALSE),4),"")</f>
        <v>Lot number or product number etc</v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IFERROR(INDEX(sample.general_sample_term!A:H,MATCH($E42,sample.general_sample_term!C:C,FALSE),5),"")</f>
        <v/>
      </c>
      <c r="V42" s="18" t="str">
        <f>IFERROR(INDEX(sample.general_sample_term!A:H,MATCH($E42,sample.general_sample_term!C:C,FALSE),6),"")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53"/>
      <c r="B43" s="48"/>
      <c r="C43" s="3" t="s">
        <v>44</v>
      </c>
      <c r="D43" s="18" t="str">
        <f>IFERROR(INDEX(sample.general_sample_term!A:H,MATCH($E43,sample.general_sample_term!C:C,FALSE),2),"")</f>
        <v/>
      </c>
      <c r="E43" s="14"/>
      <c r="F43" s="18" t="str">
        <f>IFERROR(INDEX(sample.general_sample_term!A:H,MATCH($E43,sample.general_sample_term!C:C,FALSE),3),"")</f>
        <v/>
      </c>
      <c r="G43" s="18" t="str">
        <f>IFERROR(INDEX(sample.general_sample_term!A:H,MATCH($E43,sample.general_sample_term!C:C,FALSE),4),"")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IFERROR(INDEX(sample.general_sample_term!A:H,MATCH($E43,sample.general_sample_term!C:C,FALSE),5),"")</f>
        <v/>
      </c>
      <c r="V43" s="18" t="str">
        <f>IFERROR(INDEX(sample.general_sample_term!A:H,MATCH($E43,sample.general_sample_term!C:C,FALSE),6),"")</f>
        <v/>
      </c>
      <c r="W43" s="19"/>
      <c r="X43" s="19"/>
      <c r="Y43" s="19"/>
      <c r="Z43" s="19"/>
      <c r="AA43" s="19"/>
      <c r="AB43" s="19"/>
      <c r="AC43" s="19"/>
    </row>
    <row r="44" spans="1:29">
      <c r="A44" s="54"/>
      <c r="B44" s="48"/>
      <c r="C44" s="3" t="s">
        <v>44</v>
      </c>
      <c r="D44" s="18" t="str">
        <f>IFERROR(INDEX(sample.general_sample_term!A:H,MATCH($E44,sample.general_sample_term!C:C,FALSE),2),"")</f>
        <v/>
      </c>
      <c r="E44" s="14"/>
      <c r="F44" s="18" t="str">
        <f>IFERROR(INDEX(sample.general_sample_term!A:H,MATCH($E44,sample.general_sample_term!C:C,FALSE),3),"")</f>
        <v/>
      </c>
      <c r="G44" s="18" t="str">
        <f>IFERROR(INDEX(sample.general_sample_term!A:H,MATCH($E44,sample.general_sample_term!C:C,FALSE),4),"")</f>
        <v/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IFERROR(INDEX(sample.general_sample_term!A:H,MATCH($E44,sample.general_sample_term!C:C,FALSE),5),"")</f>
        <v/>
      </c>
      <c r="V44" s="18" t="str">
        <f>IFERROR(INDEX(sample.general_sample_term!A:H,MATCH($E44,sample.general_sample_term!C:C,FALSE),6),"")</f>
        <v/>
      </c>
      <c r="W44" s="19"/>
      <c r="X44" s="19"/>
      <c r="Y44" s="19"/>
      <c r="Z44" s="19"/>
      <c r="AA44" s="19"/>
      <c r="AB44" s="19"/>
      <c r="AC44" s="19"/>
    </row>
    <row r="45" spans="1:29">
      <c r="A45" s="52" t="s">
        <v>1381</v>
      </c>
      <c r="B45" s="48" t="s">
        <v>41</v>
      </c>
      <c r="C45" s="3" t="s">
        <v>44</v>
      </c>
      <c r="D45" s="18" t="str">
        <f>IFERROR(INDEX(sample.specific_sample_term!A:M,MATCH($E45,sample.specific_sample_term!L:L,FALSE),3),"")</f>
        <v/>
      </c>
      <c r="E45" s="14"/>
      <c r="F45" s="18" t="str">
        <f>IFERROR(INDEX(sample.specific_sample_term!A:M,MATCH($E45,sample.specific_sample_term!L:L,FALSE),12),"")</f>
        <v/>
      </c>
      <c r="G45" s="18" t="str">
        <f>IFERROR(INDEX(sample.specific_sample_term!A:M,MATCH($E45,sample.specific_sample_term!L:L,FALSE),13),"")</f>
        <v/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IFERROR(INDEX(sample.specific_sample_term!A:M,MATCH($E45,sample.specific_sample_term!L:L,FALSE),8),"")</f>
        <v/>
      </c>
      <c r="V45" s="18" t="str">
        <f>IFERROR(INDEX(sample.specific_sample_term!A:M,MATCH($E45,sample.specific_sample_term!L:L,FALSE),9),"")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53"/>
      <c r="B46" s="48"/>
      <c r="C46" s="3" t="s">
        <v>44</v>
      </c>
      <c r="D46" s="18" t="str">
        <f>IFERROR(INDEX(sample.specific_sample_term!A:M,MATCH($E46,sample.specific_sample_term!L:L,FALSE),3),"")</f>
        <v/>
      </c>
      <c r="E46" s="14"/>
      <c r="F46" s="18" t="str">
        <f>IFERROR(INDEX(sample.specific_sample_term!A:M,MATCH($E46,sample.specific_sample_term!L:L,FALSE),12),"")</f>
        <v/>
      </c>
      <c r="G46" s="18" t="str">
        <f>IFERROR(INDEX(sample.specific_sample_term!A:M,MATCH($E46,sample.specific_sample_term!L:L,FALSE),13),"")</f>
        <v/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IFERROR(INDEX(sample.specific_sample_term!A:M,MATCH($E46,sample.specific_sample_term!L:L,FALSE),8),"")</f>
        <v/>
      </c>
      <c r="V46" s="18" t="str">
        <f>IFERROR(INDEX(sample.specific_sample_term!A:M,MATCH($E46,sample.specific_sample_term!L:L,FALSE),9),"")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53"/>
      <c r="B47" s="48"/>
      <c r="C47" s="3" t="s">
        <v>44</v>
      </c>
      <c r="D47" s="18" t="str">
        <f>IFERROR(INDEX(sample.specific_sample_term!A:M,MATCH($E47,sample.specific_sample_term!L:L,FALSE),3),"")</f>
        <v/>
      </c>
      <c r="E47" s="14"/>
      <c r="F47" s="18" t="str">
        <f>IFERROR(INDEX(sample.specific_sample_term!A:M,MATCH($E47,sample.specific_sample_term!L:L,FALSE),12),"")</f>
        <v/>
      </c>
      <c r="G47" s="18" t="str">
        <f>IFERROR(INDEX(sample.specific_sample_term!A:M,MATCH($E47,sample.specific_sample_term!L:L,FALSE),13),"")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IFERROR(INDEX(sample.specific_sample_term!A:M,MATCH($E47,sample.specific_sample_term!L:L,FALSE),8),"")</f>
        <v/>
      </c>
      <c r="V47" s="18" t="str">
        <f>IFERROR(INDEX(sample.specific_sample_term!A:M,MATCH($E47,sample.specific_sample_term!L:L,FALSE),9),"")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53"/>
      <c r="B48" s="48"/>
      <c r="C48" s="3" t="s">
        <v>44</v>
      </c>
      <c r="D48" s="18" t="str">
        <f>IFERROR(INDEX(sample.specific_sample_term!A:M,MATCH($E48,sample.specific_sample_term!L:L,FALSE),3),"")</f>
        <v/>
      </c>
      <c r="E48" s="14"/>
      <c r="F48" s="18" t="str">
        <f>IFERROR(INDEX(sample.specific_sample_term!A:M,MATCH($E48,sample.specific_sample_term!L:L,FALSE),12),"")</f>
        <v/>
      </c>
      <c r="G48" s="18" t="str">
        <f>IFERROR(INDEX(sample.specific_sample_term!A:M,MATCH($E48,sample.specific_sample_term!L:L,FALSE),13),"")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IFERROR(INDEX(sample.specific_sample_term!A:M,MATCH($E48,sample.specific_sample_term!L:L,FALSE),8),"")</f>
        <v/>
      </c>
      <c r="V48" s="18" t="str">
        <f>IFERROR(INDEX(sample.specific_sample_term!A:M,MATCH($E48,sample.specific_sample_term!L:L,FALSE),9),"")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53"/>
      <c r="B49" s="48"/>
      <c r="C49" s="3" t="s">
        <v>44</v>
      </c>
      <c r="D49" s="18" t="str">
        <f>IFERROR(INDEX(sample.specific_sample_term!A:M,MATCH($E49,sample.specific_sample_term!L:L,FALSE),3),"")</f>
        <v/>
      </c>
      <c r="E49" s="14"/>
      <c r="F49" s="18" t="str">
        <f>IFERROR(INDEX(sample.specific_sample_term!A:M,MATCH($E49,sample.specific_sample_term!L:L,FALSE),12),"")</f>
        <v/>
      </c>
      <c r="G49" s="18" t="str">
        <f>IFERROR(INDEX(sample.specific_sample_term!A:M,MATCH($E49,sample.specific_sample_term!L:L,FALSE),13),"")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IFERROR(INDEX(sample.specific_sample_term!A:M,MATCH($E49,sample.specific_sample_term!L:L,FALSE),8),"")</f>
        <v/>
      </c>
      <c r="V49" s="18" t="str">
        <f>IFERROR(INDEX(sample.specific_sample_term!A:M,MATCH($E49,sample.specific_sample_term!L:L,FALSE),9),"")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53"/>
      <c r="B50" s="48"/>
      <c r="C50" s="3" t="s">
        <v>44</v>
      </c>
      <c r="D50" s="18" t="str">
        <f>IFERROR(INDEX(sample.specific_sample_term!A:M,MATCH($E50,sample.specific_sample_term!L:L,FALSE),3),"")</f>
        <v/>
      </c>
      <c r="E50" s="14"/>
      <c r="F50" s="18" t="str">
        <f>IFERROR(INDEX(sample.specific_sample_term!A:M,MATCH($E50,sample.specific_sample_term!L:L,FALSE),12),"")</f>
        <v/>
      </c>
      <c r="G50" s="18" t="str">
        <f>IFERROR(INDEX(sample.specific_sample_term!A:M,MATCH($E50,sample.specific_sample_term!L:L,FALSE),13),"")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IFERROR(INDEX(sample.specific_sample_term!A:M,MATCH($E50,sample.specific_sample_term!L:L,FALSE),8),"")</f>
        <v/>
      </c>
      <c r="V50" s="18" t="str">
        <f>IFERROR(INDEX(sample.specific_sample_term!A:M,MATCH($E50,sample.specific_sample_term!L:L,FALSE),9),"")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53"/>
      <c r="B51" s="48"/>
      <c r="C51" s="3" t="s">
        <v>44</v>
      </c>
      <c r="D51" s="18" t="str">
        <f>IFERROR(INDEX(sample.specific_sample_term!A:M,MATCH($E51,sample.specific_sample_term!L:L,FALSE),3),"")</f>
        <v/>
      </c>
      <c r="E51" s="14"/>
      <c r="F51" s="18" t="str">
        <f>IFERROR(INDEX(sample.specific_sample_term!A:M,MATCH($E51,sample.specific_sample_term!L:L,FALSE),12),"")</f>
        <v/>
      </c>
      <c r="G51" s="18" t="str">
        <f>IFERROR(INDEX(sample.specific_sample_term!A:M,MATCH($E51,sample.specific_sample_term!L:L,FALSE),13),"")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IFERROR(INDEX(sample.specific_sample_term!A:M,MATCH($E51,sample.specific_sample_term!L:L,FALSE),8),"")</f>
        <v/>
      </c>
      <c r="V51" s="18" t="str">
        <f>IFERROR(INDEX(sample.specific_sample_term!A:M,MATCH($E51,sample.specific_sample_term!L:L,FALSE),9),"")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53"/>
      <c r="B52" s="48"/>
      <c r="C52" s="3" t="s">
        <v>44</v>
      </c>
      <c r="D52" s="18" t="str">
        <f>IFERROR(INDEX(sample.specific_sample_term!A:M,MATCH($E52,sample.specific_sample_term!L:L,FALSE),3),"")</f>
        <v/>
      </c>
      <c r="E52" s="14"/>
      <c r="F52" s="18" t="str">
        <f>IFERROR(INDEX(sample.specific_sample_term!A:M,MATCH($E52,sample.specific_sample_term!L:L,FALSE),12),"")</f>
        <v/>
      </c>
      <c r="G52" s="18" t="str">
        <f>IFERROR(INDEX(sample.specific_sample_term!A:M,MATCH($E52,sample.specific_sample_term!L:L,FALSE),13),"")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IFERROR(INDEX(sample.specific_sample_term!A:M,MATCH($E52,sample.specific_sample_term!L:L,FALSE),8),"")</f>
        <v/>
      </c>
      <c r="V52" s="18" t="str">
        <f>IFERROR(INDEX(sample.specific_sample_term!A:M,MATCH($E52,sample.specific_sample_term!L:L,FALSE),9),"")</f>
        <v/>
      </c>
      <c r="W52" s="19"/>
      <c r="X52" s="19"/>
      <c r="Y52" s="19"/>
      <c r="Z52" s="19"/>
      <c r="AA52" s="19"/>
      <c r="AB52" s="19"/>
      <c r="AC52" s="19"/>
    </row>
    <row r="53" spans="1:29">
      <c r="A53" s="54"/>
      <c r="B53" s="48"/>
      <c r="C53" s="3" t="s">
        <v>44</v>
      </c>
      <c r="D53" s="18" t="str">
        <f>IFERROR(INDEX(sample.specific_sample_term!A:M,MATCH($E53,sample.specific_sample_term!L:L,FALSE),3),"")</f>
        <v/>
      </c>
      <c r="E53" s="14"/>
      <c r="F53" s="18" t="str">
        <f>IFERROR(INDEX(sample.specific_sample_term!A:M,MATCH($E53,sample.specific_sample_term!L:L,FALSE),12),"")</f>
        <v/>
      </c>
      <c r="G53" s="18" t="str">
        <f>IFERROR(INDEX(sample.specific_sample_term!A:M,MATCH($E53,sample.specific_sample_term!L:L,FALSE),13),"")</f>
        <v/>
      </c>
      <c r="H53" s="12"/>
      <c r="I53" s="12"/>
      <c r="J53" s="19"/>
      <c r="K53" s="17"/>
      <c r="L53" s="19"/>
      <c r="M53" s="19"/>
      <c r="N53" s="19"/>
      <c r="O53" s="19"/>
      <c r="P53" s="19"/>
      <c r="Q53" s="19"/>
      <c r="R53" s="19"/>
      <c r="S53" s="19"/>
      <c r="T53" s="19"/>
      <c r="U53" s="18" t="str">
        <f>IFERROR(INDEX(sample.specific_sample_term!A:M,MATCH($E53,sample.specific_sample_term!L:L,FALSE),8),"")</f>
        <v/>
      </c>
      <c r="V53" s="18" t="str">
        <f>IFERROR(INDEX(sample.specific_sample_term!A:M,MATCH($E53,sample.specific_sample_term!L:L,FALSE),9),"")</f>
        <v/>
      </c>
      <c r="W53" s="19"/>
      <c r="X53" s="19"/>
      <c r="Y53" s="19"/>
      <c r="Z53" s="19"/>
      <c r="AA53" s="19"/>
      <c r="AB53" s="19"/>
      <c r="AC53" s="19"/>
    </row>
  </sheetData>
  <mergeCells count="11">
    <mergeCell ref="B45:B53"/>
    <mergeCell ref="B7:B28"/>
    <mergeCell ref="A29:A35"/>
    <mergeCell ref="A36:A44"/>
    <mergeCell ref="A45:A53"/>
    <mergeCell ref="B1:E1"/>
    <mergeCell ref="B3:E3"/>
    <mergeCell ref="A7:A28"/>
    <mergeCell ref="B36:B44"/>
    <mergeCell ref="B29:B35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53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29:D35 M7:M28 F7:G35">
    <cfRule type="expression" dxfId="18" priority="3">
      <formula>AND($C7="ON",ISBLANK(D7))</formula>
    </cfRule>
  </conditionalFormatting>
  <conditionalFormatting sqref="E36:E53">
    <cfRule type="expression" dxfId="17" priority="17">
      <formula>AND($C36="ON",ISBLANK(E36))</formula>
    </cfRule>
  </conditionalFormatting>
  <conditionalFormatting sqref="N7:O28">
    <cfRule type="cellIs" dxfId="16" priority="16" operator="equal">
      <formula>"ON"</formula>
    </cfRule>
  </conditionalFormatting>
  <conditionalFormatting sqref="Q7:Q28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28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28" xr:uid="{2D4AA448-C361-40D4-AD5E-FB8A11DF009A}">
      <formula1>"　,TRUE"</formula1>
    </dataValidation>
    <dataValidation type="list" allowBlank="1" showInputMessage="1" showErrorMessage="1" sqref="M7:M28" xr:uid="{5FE6F0C0-307E-46F0-BDAA-579DADBA61A0}">
      <formula1>"string,textarea,number,integer,list,date,markdown,time,boolean,uri,uuid"</formula1>
    </dataValidation>
    <dataValidation type="list" allowBlank="1" showInputMessage="1" showErrorMessage="1" sqref="C7:C53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E36:E44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E45:E53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https://rde.nims.go.jp/rde/dataset-templates/RDEDatasetTemplateSheet_RDE_VSM_mpms/catalog.schema.json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標準データセットテンプレートRDE_VSM_mpms用RDEデータセットテンプレート: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RDEDatasetTemplateSheet_RDE_VSM_mpms:データカタログ定義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RDEDatasetTemplateSheet_RDE_VSM_mpms:data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2026-01-05T06:09:04Z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